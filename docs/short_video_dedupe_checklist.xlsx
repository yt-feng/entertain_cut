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3b77f6cf8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00d4a0d39534b9f"/>
    <x:sheet xmlns:r="http://schemas.openxmlformats.org/officeDocument/2006/relationships" name="Checklist" sheetId="2" r:id="R0f2ec377b1d749ce"/>
    <x:sheet xmlns:r="http://schemas.openxmlformats.org/officeDocument/2006/relationships" name="下拉选项" sheetId="3" r:id="R590b77731c2d4b44"/>
    <x:sheet xmlns:r="http://schemas.openxmlformats.org/officeDocument/2006/relationships" name="使用说明" sheetId="4" r:id="Rd0eff0b35ade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75985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64748B"/>
      </x:patternFill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0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065F46"/>
      </x:font>
      <x:fill>
        <x:patternFill patternType="solid">
          <x:bgColor rgb="ECFDF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color rgb="6B7280"/>
      </x:font>
      <x:fill>
        <x:patternFill patternType="solid">
          <x:bgColor rgb="E5E7EB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a2d6d0449465b" /><Relationship Type="http://schemas.openxmlformats.org/officeDocument/2006/relationships/theme" Target="/xl/theme/theme1.xml" Id="R159af6a9c02d410c" /><Relationship Type="http://schemas.openxmlformats.org/officeDocument/2006/relationships/sharedStrings" Target="/xl/sharedStrings.xml" Id="Rb3f527f04df74e5e" /><Relationship Type="http://schemas.openxmlformats.org/officeDocument/2006/relationships/worksheet" Target="/xl/worksheets/sheet1.xml" Id="R400d4a0d39534b9f" /><Relationship Type="http://schemas.openxmlformats.org/officeDocument/2006/relationships/worksheet" Target="/xl/worksheets/sheet2.xml" Id="R0f2ec377b1d749ce" /><Relationship Type="http://schemas.openxmlformats.org/officeDocument/2006/relationships/worksheet" Target="/xl/worksheets/sheet3.xml" Id="R590b77731c2d4b44" /><Relationship Type="http://schemas.openxmlformats.org/officeDocument/2006/relationships/worksheet" Target="/xl/worksheets/sheet4.xml" Id="Rd0eff0b35ade49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2c4114064642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'总览'!$A$18:$A$21</c:f>
              <c:strCache>
                <c:ptCount val="0"/>
              </c:strCache>
            </c:strRef>
          </c:cat>
          <c:val>
            <c:numRef>
              <c:f>'总览'!$B$18:$B$21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2c4114064642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ategorySummaryTable" displayName="CategorySummaryTable" ref="D4:I14" headerRowCount="1">
  <x:tableColumns count="6">
    <x:tableColumn id="1" name="大类"/>
    <x:tableColumn id="2" name="总数"/>
    <x:tableColumn id="3" name="高优先级"/>
    <x:tableColumn id="4" name="已采用"/>
    <x:tableColumn id="5" name="完成"/>
    <x:tableColumn id="6" name="完成率"/>
  </x:tableColumns>
  <x:tableStyleInfo name="TableStyleMedium2" showRowStripes="1"/>
</x:table>
</file>

<file path=xl/tables/table2.xml><?xml version="1.0" encoding="utf-8"?>
<x:table xmlns:x="http://schemas.openxmlformats.org/spreadsheetml/2006/main" id="1" name="ChecklistTable" displayName="ChecklistTable" ref="A1:L88" headerRowCount="1">
  <x:tableColumns count="12">
    <x:tableColumn id="1" name="ID"/>
    <x:tableColumn id="2" name="大类"/>
    <x:tableColumn id="3" name="模块/功能点"/>
    <x:tableColumn id="4" name="检查项"/>
    <x:tableColumn id="5" name="目的/使用场景"/>
    <x:tableColumn id="6" name="参数/配置建议"/>
    <x:tableColumn id="7" name="风险/注意事项"/>
    <x:tableColumn id="8" name="优先级"/>
    <x:tableColumn id="9" name="采用?"/>
    <x:tableColumn id="10" name="状态"/>
    <x:tableColumn id="11" name="负责人"/>
    <x:tableColumn id="1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fb88cb9b924522" /><Relationship Type="http://schemas.openxmlformats.org/officeDocument/2006/relationships/table" Target="/xl/tables/table1.xml" Id="Rd3185f1b3bed48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8b3b63b85540cb" /></Relationships>
</file>

<file path=xl/worksheets/sheet1.xml><?xml version="1.0" encoding="utf-8"?>
<x:worksheet xmlns:x="http://schemas.openxmlformats.org/spreadsheetml/2006/main">
  <x:sheetFormatPr defaultRowHeight="15"/>
  <x:cols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" max="1" width="16" hidden="0" customWidth="1"/>
    <x:col min="2" max="2" width="12" hidden="0" customWidth="1"/>
  </x:cols>
  <x:sheetData>
    <x:row r="1" ht="34" customHeight="1">
      <x:c r="A1" s="25" t="str">
        <x:v>短视频版本化/创作增强软件模块 Checklist</x:v>
      </x:c>
    </x:row>
    <x:row r="2" ht="36" customHeight="1">
      <x:c r="A2" s="32" t="str">
        <x:v>用途提示：建议用于已获授权素材的版本管理、创作增强、批处理质检与合规发布，不建议用于规避平台检测或侵权搬运。</x:v>
      </x:c>
    </x:row>
    <x:row r="4">
      <x:c r="A4" s="36" t="str">
        <x:v>指标</x:v>
      </x:c>
      <x:c r="B4" s="36" t="str">
        <x:v>数值</x:v>
      </x:c>
      <x:c r="D4" s="36" t="str">
        <x:v>大类</x:v>
      </x:c>
      <x:c r="E4" s="36" t="str">
        <x:v>总数</x:v>
      </x:c>
      <x:c r="F4" s="36" t="str">
        <x:v>高优先级</x:v>
      </x:c>
      <x:c r="G4" s="36" t="str">
        <x:v>已采用</x:v>
      </x:c>
      <x:c r="H4" s="36" t="str">
        <x:v>完成</x:v>
      </x:c>
      <x:c r="I4" s="36" t="str">
        <x:v>完成率</x:v>
      </x:c>
    </x:row>
    <x:row r="5">
      <x:c r="A5" s="39" t="str">
        <x:v>检查项总数</x:v>
      </x:c>
      <x:c r="B5" s="42" t="n">
        <x:f>COUNTA(Checklist!$A$2:$A$88)</x:f>
        <x:v>87</x:v>
      </x:c>
      <x:c r="D5" s="13" t="str">
        <x:v>画面基础调整</x:v>
      </x:c>
      <x:c r="E5" s="46" t="n">
        <x:f>COUNTIF(Checklist!$B$2:$B$88,D5)</x:f>
        <x:v>8</x:v>
      </x:c>
      <x:c r="F5" s="46" t="n">
        <x:f>COUNTIFS(Checklist!$B$2:$B$88,D5,Checklist!$H$2:$H$88,"高")</x:f>
        <x:v>3</x:v>
      </x:c>
      <x:c r="G5" s="46" t="n">
        <x:f>COUNTIFS(Checklist!$B$2:$B$88,D5,Checklist!$I$2:$I$88,"是")</x:f>
        <x:v>0</x:v>
      </x:c>
      <x:c r="H5" s="46" t="n">
        <x:f>COUNTIFS(Checklist!$B$2:$B$88,D5,Checklist!$J$2:$J$88,"完成")</x:f>
        <x:v>0</x:v>
      </x:c>
      <x:c r="I5" s="48" t="n">
        <x:f>IFERROR(H5/E5,0)</x:f>
        <x:v>0</x:v>
      </x:c>
    </x:row>
    <x:row r="6">
      <x:c r="A6" s="39" t="str">
        <x:v>已完成</x:v>
      </x:c>
      <x:c r="B6" s="42" t="n">
        <x:f>COUNTIF(Checklist!$J$2:$J$88,"完成")</x:f>
        <x:v>0</x:v>
      </x:c>
      <x:c r="D6" s="13" t="str">
        <x:v>动态视觉扰动</x:v>
      </x:c>
      <x:c r="E6" s="46" t="n">
        <x:f>COUNTIF(Checklist!$B$2:$B$88,D6)</x:f>
        <x:v>10</x:v>
      </x:c>
      <x:c r="F6" s="46" t="n">
        <x:f>COUNTIFS(Checklist!$B$2:$B$88,D6,Checklist!$H$2:$H$88,"高")</x:f>
        <x:v>4</x:v>
      </x:c>
      <x:c r="G6" s="46" t="n">
        <x:f>COUNTIFS(Checklist!$B$2:$B$88,D6,Checklist!$I$2:$I$88,"是")</x:f>
        <x:v>0</x:v>
      </x:c>
      <x:c r="H6" s="46" t="n">
        <x:f>COUNTIFS(Checklist!$B$2:$B$88,D6,Checklist!$J$2:$J$88,"完成")</x:f>
        <x:v>0</x:v>
      </x:c>
      <x:c r="I6" s="48" t="n">
        <x:f>IFERROR(H6/E6,0)</x:f>
        <x:v>0</x:v>
      </x:c>
    </x:row>
    <x:row r="7">
      <x:c r="A7" s="39" t="str">
        <x:v>进行中</x:v>
      </x:c>
      <x:c r="B7" s="42" t="n">
        <x:f>COUNTIF(Checklist!$J$2:$J$88,"进行中")</x:f>
        <x:v>0</x:v>
      </x:c>
      <x:c r="D7" s="13" t="str">
        <x:v>剪辑结构与节奏</x:v>
      </x:c>
      <x:c r="E7" s="46" t="n">
        <x:f>COUNTIF(Checklist!$B$2:$B$88,D7)</x:f>
        <x:v>8</x:v>
      </x:c>
      <x:c r="F7" s="46" t="n">
        <x:f>COUNTIFS(Checklist!$B$2:$B$88,D7,Checklist!$H$2:$H$88,"高")</x:f>
        <x:v>5</x:v>
      </x:c>
      <x:c r="G7" s="46" t="n">
        <x:f>COUNTIFS(Checklist!$B$2:$B$88,D7,Checklist!$I$2:$I$88,"是")</x:f>
        <x:v>0</x:v>
      </x:c>
      <x:c r="H7" s="46" t="n">
        <x:f>COUNTIFS(Checklist!$B$2:$B$88,D7,Checklist!$J$2:$J$88,"完成")</x:f>
        <x:v>0</x:v>
      </x:c>
      <x:c r="I7" s="48" t="n">
        <x:f>IFERROR(H7/E7,0)</x:f>
        <x:v>0</x:v>
      </x:c>
    </x:row>
    <x:row r="8">
      <x:c r="A8" s="39" t="str">
        <x:v>完成率</x:v>
      </x:c>
      <x:c r="B8" s="44" t="n">
        <x:f>IFERROR(B6/B5,0)</x:f>
        <x:v>0</x:v>
      </x:c>
      <x:c r="D8" s="13" t="str">
        <x:v>字幕/文字/贴纸</x:v>
      </x:c>
      <x:c r="E8" s="46" t="n">
        <x:f>COUNTIF(Checklist!$B$2:$B$88,D8)</x:f>
        <x:v>9</x:v>
      </x:c>
      <x:c r="F8" s="46" t="n">
        <x:f>COUNTIFS(Checklist!$B$2:$B$88,D8,Checklist!$H$2:$H$88,"高")</x:f>
        <x:v>6</x:v>
      </x:c>
      <x:c r="G8" s="46" t="n">
        <x:f>COUNTIFS(Checklist!$B$2:$B$88,D8,Checklist!$I$2:$I$88,"是")</x:f>
        <x:v>0</x:v>
      </x:c>
      <x:c r="H8" s="46" t="n">
        <x:f>COUNTIFS(Checklist!$B$2:$B$88,D8,Checklist!$J$2:$J$88,"完成")</x:f>
        <x:v>0</x:v>
      </x:c>
      <x:c r="I8" s="48" t="n">
        <x:f>IFERROR(H8/E8,0)</x:f>
        <x:v>0</x:v>
      </x:c>
    </x:row>
    <x:row r="9">
      <x:c r="D9" s="13" t="str">
        <x:v>音频处理</x:v>
      </x:c>
      <x:c r="E9" s="46" t="n">
        <x:f>COUNTIF(Checklist!$B$2:$B$88,D9)</x:f>
        <x:v>10</x:v>
      </x:c>
      <x:c r="F9" s="46" t="n">
        <x:f>COUNTIFS(Checklist!$B$2:$B$88,D9,Checklist!$H$2:$H$88,"高")</x:f>
        <x:v>5</x:v>
      </x:c>
      <x:c r="G9" s="46" t="n">
        <x:f>COUNTIFS(Checklist!$B$2:$B$88,D9,Checklist!$I$2:$I$88,"是")</x:f>
        <x:v>0</x:v>
      </x:c>
      <x:c r="H9" s="46" t="n">
        <x:f>COUNTIFS(Checklist!$B$2:$B$88,D9,Checklist!$J$2:$J$88,"完成")</x:f>
        <x:v>0</x:v>
      </x:c>
      <x:c r="I9" s="48" t="n">
        <x:f>IFERROR(H9/E9,0)</x:f>
        <x:v>0</x:v>
      </x:c>
    </x:row>
    <x:row r="10">
      <x:c r="D10" s="13" t="str">
        <x:v>编码与导出</x:v>
      </x:c>
      <x:c r="E10" s="46" t="n">
        <x:f>COUNTIF(Checklist!$B$2:$B$88,D10)</x:f>
        <x:v>9</x:v>
      </x:c>
      <x:c r="F10" s="46" t="n">
        <x:f>COUNTIFS(Checklist!$B$2:$B$88,D10,Checklist!$H$2:$H$88,"高")</x:f>
        <x:v>3</x:v>
      </x:c>
      <x:c r="G10" s="46" t="n">
        <x:f>COUNTIFS(Checklist!$B$2:$B$88,D10,Checklist!$I$2:$I$88,"是")</x:f>
        <x:v>0</x:v>
      </x:c>
      <x:c r="H10" s="46" t="n">
        <x:f>COUNTIFS(Checklist!$B$2:$B$88,D10,Checklist!$J$2:$J$88,"完成")</x:f>
        <x:v>0</x:v>
      </x:c>
      <x:c r="I10" s="48" t="n">
        <x:f>IFERROR(H10/E10,0)</x:f>
        <x:v>0</x:v>
      </x:c>
    </x:row>
    <x:row r="11">
      <x:c r="D11" s="13" t="str">
        <x:v>AI/自动化能力</x:v>
      </x:c>
      <x:c r="E11" s="46" t="n">
        <x:f>COUNTIF(Checklist!$B$2:$B$88,D11)</x:f>
        <x:v>9</x:v>
      </x:c>
      <x:c r="F11" s="46" t="n">
        <x:f>COUNTIFS(Checklist!$B$2:$B$88,D11,Checklist!$H$2:$H$88,"高")</x:f>
        <x:v>6</x:v>
      </x:c>
      <x:c r="G11" s="46" t="n">
        <x:f>COUNTIFS(Checklist!$B$2:$B$88,D11,Checklist!$I$2:$I$88,"是")</x:f>
        <x:v>0</x:v>
      </x:c>
      <x:c r="H11" s="46" t="n">
        <x:f>COUNTIFS(Checklist!$B$2:$B$88,D11,Checklist!$J$2:$J$88,"完成")</x:f>
        <x:v>0</x:v>
      </x:c>
      <x:c r="I11" s="48" t="n">
        <x:f>IFERROR(H11/E11,0)</x:f>
        <x:v>0</x:v>
      </x:c>
    </x:row>
    <x:row r="12">
      <x:c r="D12" s="13" t="str">
        <x:v>素材与项目管理</x:v>
      </x:c>
      <x:c r="E12" s="46" t="n">
        <x:f>COUNTIF(Checklist!$B$2:$B$88,D12)</x:f>
        <x:v>8</x:v>
      </x:c>
      <x:c r="F12" s="46" t="n">
        <x:f>COUNTIFS(Checklist!$B$2:$B$88,D12,Checklist!$H$2:$H$88,"高")</x:f>
        <x:v>6</x:v>
      </x:c>
      <x:c r="G12" s="46" t="n">
        <x:f>COUNTIFS(Checklist!$B$2:$B$88,D12,Checklist!$I$2:$I$88,"是")</x:f>
        <x:v>0</x:v>
      </x:c>
      <x:c r="H12" s="46" t="n">
        <x:f>COUNTIFS(Checklist!$B$2:$B$88,D12,Checklist!$J$2:$J$88,"完成")</x:f>
        <x:v>0</x:v>
      </x:c>
      <x:c r="I12" s="48" t="n">
        <x:f>IFERROR(H12/E12,0)</x:f>
        <x:v>0</x:v>
      </x:c>
    </x:row>
    <x:row r="13">
      <x:c r="D13" s="13" t="str">
        <x:v>质检与合规</x:v>
      </x:c>
      <x:c r="E13" s="46" t="n">
        <x:f>COUNTIF(Checklist!$B$2:$B$88,D13)</x:f>
        <x:v>10</x:v>
      </x:c>
      <x:c r="F13" s="46" t="n">
        <x:f>COUNTIFS(Checklist!$B$2:$B$88,D13,Checklist!$H$2:$H$88,"高")</x:f>
        <x:v>9</x:v>
      </x:c>
      <x:c r="G13" s="46" t="n">
        <x:f>COUNTIFS(Checklist!$B$2:$B$88,D13,Checklist!$I$2:$I$88,"是")</x:f>
        <x:v>0</x:v>
      </x:c>
      <x:c r="H13" s="46" t="n">
        <x:f>COUNTIFS(Checklist!$B$2:$B$88,D13,Checklist!$J$2:$J$88,"完成")</x:f>
        <x:v>0</x:v>
      </x:c>
      <x:c r="I13" s="48" t="n">
        <x:f>IFERROR(H13/E13,0)</x:f>
        <x:v>0</x:v>
      </x:c>
    </x:row>
    <x:row r="14">
      <x:c r="D14" s="13" t="str">
        <x:v>产品与工程模块</x:v>
      </x:c>
      <x:c r="E14" s="46" t="n">
        <x:f>COUNTIF(Checklist!$B$2:$B$88,D14)</x:f>
        <x:v>6</x:v>
      </x:c>
      <x:c r="F14" s="46" t="n">
        <x:f>COUNTIFS(Checklist!$B$2:$B$88,D14,Checklist!$H$2:$H$88,"高")</x:f>
        <x:v>3</x:v>
      </x:c>
      <x:c r="G14" s="46" t="n">
        <x:f>COUNTIFS(Checklist!$B$2:$B$88,D14,Checklist!$I$2:$I$88,"是")</x:f>
        <x:v>0</x:v>
      </x:c>
      <x:c r="H14" s="46" t="n">
        <x:f>COUNTIFS(Checklist!$B$2:$B$88,D14,Checklist!$J$2:$J$88,"完成")</x:f>
        <x:v>0</x:v>
      </x:c>
      <x:c r="I14" s="48" t="n">
        <x:f>IFERROR(H14/E14,0)</x:f>
        <x:v>0</x:v>
      </x:c>
    </x:row>
    <x:row r="17">
      <x:c r="A17" s="52" t="str">
        <x:v>状态</x:v>
      </x:c>
      <x:c r="B17" s="52" t="str">
        <x:v>数量</x:v>
      </x:c>
      <x:c r="C17" s="52" t="str">
        <x:v>占比</x:v>
      </x:c>
    </x:row>
    <x:row r="18">
      <x:c r="A18" s="42" t="str">
        <x:v>未开始</x:v>
      </x:c>
      <x:c r="B18" s="42" t="n">
        <x:f>COUNTIF(Checklist!$J$2:$J$88,A18)</x:f>
        <x:v>87</x:v>
      </x:c>
      <x:c r="C18" s="44" t="n">
        <x:f>IFERROR(B18/$B$5,0)</x:f>
        <x:v>1</x:v>
      </x:c>
    </x:row>
    <x:row r="19">
      <x:c r="A19" s="42" t="str">
        <x:v>进行中</x:v>
      </x:c>
      <x:c r="B19" s="42" t="n">
        <x:f>COUNTIF(Checklist!$J$2:$J$88,A19)</x:f>
        <x:v>0</x:v>
      </x:c>
      <x:c r="C19" s="44" t="n">
        <x:f>IFERROR(B19/$B$5,0)</x:f>
        <x:v>0</x:v>
      </x:c>
    </x:row>
    <x:row r="20">
      <x:c r="A20" s="42" t="str">
        <x:v>完成</x:v>
      </x:c>
      <x:c r="B20" s="42" t="n">
        <x:f>COUNTIF(Checklist!$J$2:$J$88,A20)</x:f>
        <x:v>0</x:v>
      </x:c>
      <x:c r="C20" s="44" t="n">
        <x:f>IFERROR(B20/$B$5,0)</x:f>
        <x:v>0</x:v>
      </x:c>
    </x:row>
    <x:row r="21">
      <x:c r="A21" s="42" t="str">
        <x:v>不适用</x:v>
      </x:c>
      <x:c r="B21" s="42" t="n">
        <x:f>COUNTIF(Checklist!$J$2:$J$88,A21)</x:f>
        <x:v>0</x:v>
      </x:c>
      <x:c r="C21" s="44" t="n">
        <x:f>IFERROR(B21/$B$5,0)</x:f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4fb88cb9b924522"/>
  <x:tableParts count="1">
    <x:tablePart xmlns:r="http://schemas.openxmlformats.org/officeDocument/2006/relationships" r:id="Rd3185f1b3bed48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34" hidden="0" customWidth="1"/>
    <x:col min="5" max="5" width="34" hidden="0" customWidth="1"/>
    <x:col min="6" max="6" width="36" hidden="0" customWidth="1"/>
    <x:col min="7" max="7" width="38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  <x:col min="12" max="12" width="24" hidden="0" customWidth="1"/>
  </x:cols>
  <x:sheetData>
    <x:row r="1" ht="28" customHeight="1">
      <x:c r="A1" s="6" t="str">
        <x:v>ID</x:v>
      </x:c>
      <x:c r="B1" s="6" t="str">
        <x:v>大类</x:v>
      </x:c>
      <x:c r="C1" s="6" t="str">
        <x:v>模块/功能点</x:v>
      </x:c>
      <x:c r="D1" s="6" t="str">
        <x:v>检查项</x:v>
      </x:c>
      <x:c r="E1" s="6" t="str">
        <x:v>目的/使用场景</x:v>
      </x:c>
      <x:c r="F1" s="6" t="str">
        <x:v>参数/配置建议</x:v>
      </x:c>
      <x:c r="G1" s="6" t="str">
        <x:v>风险/注意事项</x:v>
      </x:c>
      <x:c r="H1" s="6" t="str">
        <x:v>优先级</x:v>
      </x:c>
      <x:c r="I1" s="6" t="str">
        <x:v>采用?</x:v>
      </x:c>
      <x:c r="J1" s="6" t="str">
        <x:v>状态</x:v>
      </x:c>
      <x:c r="K1" s="6" t="str">
        <x:v>负责人</x:v>
      </x:c>
      <x:c r="L1" s="6" t="str">
        <x:v>备注</x:v>
      </x:c>
    </x:row>
    <x:row r="2" ht="60" customHeight="1">
      <x:c r="A2" s="13" t="n">
        <x:v>1</x:v>
      </x:c>
      <x:c r="B2" s="13" t="str">
        <x:v>画面基础调整</x:v>
      </x:c>
      <x:c r="C2" s="13" t="str">
        <x:v>亮度/对比度</x:v>
      </x:c>
      <x:c r="D2" s="13" t="str">
        <x:v>支持亮度、对比度、曝光、阴影、高光微调</x:v>
      </x:c>
      <x:c r="E2" s="13" t="str">
        <x:v>统一素材观感，适配不同平台压缩后的显示效果</x:v>
      </x:c>
      <x:c r="F2" s="13" t="str">
        <x:v>亮度±3%-8%；对比度±3%-10%；保留肤色/商品真实度</x:v>
      </x:c>
      <x:c r="G2" s="13" t="str">
        <x:v>过度调整会丢细节、偏色或影响商品/人物真实性</x:v>
      </x:c>
      <x:c r="H2" s="13" t="str">
        <x:v>高</x:v>
      </x:c>
      <x:c r="I2" s="13" t="str">
        <x:v>待评估</x:v>
      </x:c>
      <x:c r="J2" s="13" t="str">
        <x:v>未开始</x:v>
      </x:c>
      <x:c r="K2" s="13" t="str"/>
      <x:c r="L2" s="13" t="str"/>
    </x:row>
    <x:row r="3" ht="60" customHeight="1">
      <x:c r="A3" s="13" t="n">
        <x:v>2</x:v>
      </x:c>
      <x:c r="B3" s="13" t="str">
        <x:v>画面基础调整</x:v>
      </x:c>
      <x:c r="C3" s="13" t="str">
        <x:v>色彩调整</x:v>
      </x:c>
      <x:c r="D3" s="13" t="str">
        <x:v>支持饱和度、色温、色调、HSL 分通道微调</x:v>
      </x:c>
      <x:c r="E3" s="13" t="str">
        <x:v>形成轻量差异化风格，修正素材色偏</x:v>
      </x:c>
      <x:c r="F3" s="13" t="str">
        <x:v>饱和度±3%-8%；色温±200-600K；预设可批量应用</x:v>
      </x:c>
      <x:c r="G3" s="13" t="str">
        <x:v>肤色、品牌色、食物色彩失真会降低可信度</x:v>
      </x:c>
      <x:c r="H3" s="13" t="str">
        <x:v>高</x:v>
      </x:c>
      <x:c r="I3" s="13" t="str">
        <x:v>待评估</x:v>
      </x:c>
      <x:c r="J3" s="13" t="str">
        <x:v>未开始</x:v>
      </x:c>
      <x:c r="K3" s="13" t="str"/>
      <x:c r="L3" s="13" t="str"/>
    </x:row>
    <x:row r="4" ht="60" customHeight="1">
      <x:c r="A4" s="13" t="n">
        <x:v>3</x:v>
      </x:c>
      <x:c r="B4" s="13" t="str">
        <x:v>画面基础调整</x:v>
      </x:c>
      <x:c r="C4" s="13" t="str">
        <x:v>Gamma/曲线</x:v>
      </x:c>
      <x:c r="D4" s="13" t="str">
        <x:v>提供 Gamma、RGB 曲线、Luma 曲线模板</x:v>
      </x:c>
      <x:c r="E4" s="13" t="str">
        <x:v>细调中间调和整体层次</x:v>
      </x:c>
      <x:c r="F4" s="13" t="str">
        <x:v>提供低/中/高三档预设；支持撤销和对比预览</x:v>
      </x:c>
      <x:c r="G4" s="13" t="str">
        <x:v>曲线过强会造成画面脏、噪点明显</x:v>
      </x:c>
      <x:c r="H4" s="13" t="str">
        <x:v>中</x:v>
      </x:c>
      <x:c r="I4" s="13" t="str">
        <x:v>待评估</x:v>
      </x:c>
      <x:c r="J4" s="13" t="str">
        <x:v>未开始</x:v>
      </x:c>
      <x:c r="K4" s="13" t="str"/>
      <x:c r="L4" s="13" t="str"/>
    </x:row>
    <x:row r="5" ht="60" customHeight="1">
      <x:c r="A5" s="13" t="n">
        <x:v>4</x:v>
      </x:c>
      <x:c r="B5" s="13" t="str">
        <x:v>画面基础调整</x:v>
      </x:c>
      <x:c r="C5" s="13" t="str">
        <x:v>锐化/清晰度</x:v>
      </x:c>
      <x:c r="D5" s="13" t="str">
        <x:v>支持锐化、局部清晰度、边缘增强</x:v>
      </x:c>
      <x:c r="E5" s="13" t="str">
        <x:v>提升压缩后清晰度和主体轮廓</x:v>
      </x:c>
      <x:c r="F5" s="13" t="str">
        <x:v>锐化 5%-15%；人像素材降低脸部锐化</x:v>
      </x:c>
      <x:c r="G5" s="13" t="str">
        <x:v>容易出现白边、噪点和塑料感</x:v>
      </x:c>
      <x:c r="H5" s="13" t="str">
        <x:v>中</x:v>
      </x:c>
      <x:c r="I5" s="13" t="str">
        <x:v>待评估</x:v>
      </x:c>
      <x:c r="J5" s="13" t="str">
        <x:v>未开始</x:v>
      </x:c>
      <x:c r="K5" s="13" t="str"/>
      <x:c r="L5" s="13" t="str"/>
    </x:row>
    <x:row r="6" ht="60" customHeight="1">
      <x:c r="A6" s="13" t="n">
        <x:v>5</x:v>
      </x:c>
      <x:c r="B6" s="13" t="str">
        <x:v>画面基础调整</x:v>
      </x:c>
      <x:c r="C6" s="13" t="str">
        <x:v>降噪/颗粒</x:v>
      </x:c>
      <x:c r="D6" s="13" t="str">
        <x:v>支持视频降噪与胶片颗粒叠加</x:v>
      </x:c>
      <x:c r="E6" s="13" t="str">
        <x:v>平衡低清素材噪点与自然质感</x:v>
      </x:c>
      <x:c r="F6" s="13" t="str">
        <x:v>降噪低/中档；颗粒透明度 3%-8%</x:v>
      </x:c>
      <x:c r="G6" s="13" t="str">
        <x:v>降噪过强会糊，颗粒过多影响观感</x:v>
      </x:c>
      <x:c r="H6" s="13" t="str">
        <x:v>中</x:v>
      </x:c>
      <x:c r="I6" s="13" t="str">
        <x:v>待评估</x:v>
      </x:c>
      <x:c r="J6" s="13" t="str">
        <x:v>未开始</x:v>
      </x:c>
      <x:c r="K6" s="13" t="str"/>
      <x:c r="L6" s="13" t="str"/>
    </x:row>
    <x:row r="7" ht="60" customHeight="1">
      <x:c r="A7" s="13" t="n">
        <x:v>6</x:v>
      </x:c>
      <x:c r="B7" s="13" t="str">
        <x:v>画面基础调整</x:v>
      </x:c>
      <x:c r="C7" s="13" t="str">
        <x:v>LUT/滤镜</x:v>
      </x:c>
      <x:c r="D7" s="13" t="str">
        <x:v>内置轻量 LUT、场景滤镜、品牌色调预设</x:v>
      </x:c>
      <x:c r="E7" s="13" t="str">
        <x:v>快速统一账号视觉风格</x:v>
      </x:c>
      <x:c r="F7" s="13" t="str">
        <x:v>每个账号/栏目保留专属 LUT 组；支持强度调节</x:v>
      </x:c>
      <x:c r="G7" s="13" t="str">
        <x:v>滤镜套娃会导致风格混乱或偏离真实信息</x:v>
      </x:c>
      <x:c r="H7" s="13" t="str">
        <x:v>中</x:v>
      </x:c>
      <x:c r="I7" s="13" t="str">
        <x:v>待评估</x:v>
      </x:c>
      <x:c r="J7" s="13" t="str">
        <x:v>未开始</x:v>
      </x:c>
      <x:c r="K7" s="13" t="str"/>
      <x:c r="L7" s="13" t="str"/>
    </x:row>
    <x:row r="8" ht="60" customHeight="1">
      <x:c r="A8" s="13" t="n">
        <x:v>7</x:v>
      </x:c>
      <x:c r="B8" s="13" t="str">
        <x:v>画面基础调整</x:v>
      </x:c>
      <x:c r="C8" s="13" t="str">
        <x:v>暗角/边缘处理</x:v>
      </x:c>
      <x:c r="D8" s="13" t="str">
        <x:v>支持轻微暗角、边缘模糊、径向渐变</x:v>
      </x:c>
      <x:c r="E8" s="13" t="str">
        <x:v>突出中心主体，改善边缘杂乱</x:v>
      </x:c>
      <x:c r="F8" s="13" t="str">
        <x:v>暗角透明度 5%-12%；避免遮挡文字</x:v>
      </x:c>
      <x:c r="G8" s="13" t="str">
        <x:v>电商、教程类视频不宜遮挡细节</x:v>
      </x:c>
      <x:c r="H8" s="13" t="str">
        <x:v>低</x:v>
      </x:c>
      <x:c r="I8" s="13" t="str">
        <x:v>待评估</x:v>
      </x:c>
      <x:c r="J8" s="13" t="str">
        <x:v>未开始</x:v>
      </x:c>
      <x:c r="K8" s="13" t="str"/>
      <x:c r="L8" s="13" t="str"/>
    </x:row>
    <x:row r="9" ht="60" customHeight="1">
      <x:c r="A9" s="13" t="n">
        <x:v>8</x:v>
      </x:c>
      <x:c r="B9" s="13" t="str">
        <x:v>画面基础调整</x:v>
      </x:c>
      <x:c r="C9" s="13" t="str">
        <x:v>局部马赛克/模糊</x:v>
      </x:c>
      <x:c r="D9" s="13" t="str">
        <x:v>支持人脸、车牌、隐私信息自动模糊</x:v>
      </x:c>
      <x:c r="E9" s="13" t="str">
        <x:v>保护隐私、满足合规要求</x:v>
      </x:c>
      <x:c r="F9" s="13" t="str">
        <x:v>检测后人工复核；模糊强度足以不可识别</x:v>
      </x:c>
      <x:c r="G9" s="13" t="str">
        <x:v>不要用来隐藏侵权水印或误导来源</x:v>
      </x:c>
      <x:c r="H9" s="13" t="str">
        <x:v>高</x:v>
      </x:c>
      <x:c r="I9" s="13" t="str">
        <x:v>待评估</x:v>
      </x:c>
      <x:c r="J9" s="13" t="str">
        <x:v>未开始</x:v>
      </x:c>
      <x:c r="K9" s="13" t="str"/>
      <x:c r="L9" s="13" t="str"/>
    </x:row>
    <x:row r="10" ht="60" customHeight="1">
      <x:c r="A10" s="13" t="n">
        <x:v>9</x:v>
      </x:c>
      <x:c r="B10" s="13" t="str">
        <x:v>动态视觉扰动</x:v>
      </x:c>
      <x:c r="C10" s="13" t="str">
        <x:v>扫光/光效</x:v>
      </x:c>
      <x:c r="D10" s="13" t="str">
        <x:v>支持扫光、闪光、光斑、漏光等叠加</x:v>
      </x:c>
      <x:c r="E10" s="13" t="str">
        <x:v>增加动态层次和节奏感</x:v>
      </x:c>
      <x:c r="F10" s="13" t="str">
        <x:v>透明度 5%-18%；频率按场景节奏控制</x:v>
      </x:c>
      <x:c r="G10" s="13" t="str">
        <x:v>过频会影响观看体验，可能触发光敏不适</x:v>
      </x:c>
      <x:c r="H10" s="13" t="str">
        <x:v>高</x:v>
      </x:c>
      <x:c r="I10" s="13" t="str">
        <x:v>待评估</x:v>
      </x:c>
      <x:c r="J10" s="13" t="str">
        <x:v>未开始</x:v>
      </x:c>
      <x:c r="K10" s="13" t="str"/>
      <x:c r="L10" s="13" t="str"/>
    </x:row>
    <x:row r="11" ht="60" customHeight="1">
      <x:c r="A11" s="13" t="n">
        <x:v>10</x:v>
      </x:c>
      <x:c r="B11" s="13" t="str">
        <x:v>动态视觉扰动</x:v>
      </x:c>
      <x:c r="C11" s="13" t="str">
        <x:v>轻微缩放</x:v>
      </x:c>
      <x:c r="D11" s="13" t="str">
        <x:v>支持 Ken Burns 式微缩放、推拉镜头</x:v>
      </x:c>
      <x:c r="E11" s="13" t="str">
        <x:v>让静态或低运动画面更有动感</x:v>
      </x:c>
      <x:c r="F11" s="13" t="str">
        <x:v>缩放 101%-108%；关键帧平滑</x:v>
      </x:c>
      <x:c r="G11" s="13" t="str">
        <x:v>过度缩放会裁掉字幕、商品、人物表情</x:v>
      </x:c>
      <x:c r="H11" s="13" t="str">
        <x:v>高</x:v>
      </x:c>
      <x:c r="I11" s="13" t="str">
        <x:v>待评估</x:v>
      </x:c>
      <x:c r="J11" s="13" t="str">
        <x:v>未开始</x:v>
      </x:c>
      <x:c r="K11" s="13" t="str"/>
      <x:c r="L11" s="13" t="str"/>
    </x:row>
    <x:row r="12" ht="60" customHeight="1">
      <x:c r="A12" s="13" t="n">
        <x:v>11</x:v>
      </x:c>
      <x:c r="B12" s="13" t="str">
        <x:v>动态视觉扰动</x:v>
      </x:c>
      <x:c r="C12" s="13" t="str">
        <x:v>平移/重构图</x:v>
      </x:c>
      <x:c r="D12" s="13" t="str">
        <x:v>支持横向/纵向轻微平移、主体居中</x:v>
      </x:c>
      <x:c r="E12" s="13" t="str">
        <x:v>适配竖屏/横屏/方屏不同版式</x:v>
      </x:c>
      <x:c r="F12" s="13" t="str">
        <x:v>保留安全边距；主体识别后自动构图</x:v>
      </x:c>
      <x:c r="G12" s="13" t="str">
        <x:v>裁切需避免破坏原始信息和关键上下文</x:v>
      </x:c>
      <x:c r="H12" s="13" t="str">
        <x:v>高</x:v>
      </x:c>
      <x:c r="I12" s="13" t="str">
        <x:v>待评估</x:v>
      </x:c>
      <x:c r="J12" s="13" t="str">
        <x:v>未开始</x:v>
      </x:c>
      <x:c r="K12" s="13" t="str"/>
      <x:c r="L12" s="13" t="str"/>
    </x:row>
    <x:row r="13" ht="60" customHeight="1">
      <x:c r="A13" s="13" t="n">
        <x:v>12</x:v>
      </x:c>
      <x:c r="B13" s="13" t="str">
        <x:v>动态视觉扰动</x:v>
      </x:c>
      <x:c r="C13" s="13" t="str">
        <x:v>裁剪/边框</x:v>
      </x:c>
      <x:c r="D13" s="13" t="str">
        <x:v>支持比例裁剪、边框、背景填充、模糊背景</x:v>
      </x:c>
      <x:c r="E13" s="13" t="str">
        <x:v>适配 9:16、1:1、16:9 等平台版式</x:v>
      </x:c>
      <x:c r="F13" s="13" t="str">
        <x:v>预设平台尺寸；边距 4%-8%</x:v>
      </x:c>
      <x:c r="G13" s="13" t="str">
        <x:v>不要遮挡原视频署名、字幕和必要免责声明</x:v>
      </x:c>
      <x:c r="H13" s="13" t="str">
        <x:v>高</x:v>
      </x:c>
      <x:c r="I13" s="13" t="str">
        <x:v>待评估</x:v>
      </x:c>
      <x:c r="J13" s="13" t="str">
        <x:v>未开始</x:v>
      </x:c>
      <x:c r="K13" s="13" t="str"/>
      <x:c r="L13" s="13" t="str"/>
    </x:row>
    <x:row r="14" ht="60" customHeight="1">
      <x:c r="A14" s="13" t="n">
        <x:v>13</x:v>
      </x:c>
      <x:c r="B14" s="13" t="str">
        <x:v>动态视觉扰动</x:v>
      </x:c>
      <x:c r="C14" s="13" t="str">
        <x:v>轻微旋转/透视</x:v>
      </x:c>
      <x:c r="D14" s="13" t="str">
        <x:v>支持 0.2°-1.5° 旋转、透视校正/扰动</x:v>
      </x:c>
      <x:c r="E14" s="13" t="str">
        <x:v>修正倾斜或做轻微风格化处理</x:v>
      </x:c>
      <x:c r="F14" s="13" t="str">
        <x:v>默认关闭；仅在画面安全边距足够时启用</x:v>
      </x:c>
      <x:c r="G14" s="13" t="str">
        <x:v>会导致边缘黑边、文字倾斜、观感不专业</x:v>
      </x:c>
      <x:c r="H14" s="13" t="str">
        <x:v>低</x:v>
      </x:c>
      <x:c r="I14" s="13" t="str">
        <x:v>待评估</x:v>
      </x:c>
      <x:c r="J14" s="13" t="str">
        <x:v>未开始</x:v>
      </x:c>
      <x:c r="K14" s="13" t="str"/>
      <x:c r="L14" s="13" t="str"/>
    </x:row>
    <x:row r="15" ht="60" customHeight="1">
      <x:c r="A15" s="13" t="n">
        <x:v>14</x:v>
      </x:c>
      <x:c r="B15" s="13" t="str">
        <x:v>动态视觉扰动</x:v>
      </x:c>
      <x:c r="C15" s="13" t="str">
        <x:v>镜像/翻转</x:v>
      </x:c>
      <x:c r="D15" s="13" t="str">
        <x:v>支持水平/垂直翻转并自动检测文字/Logo</x:v>
      </x:c>
      <x:c r="E15" s="13" t="str">
        <x:v>用于自拍镜头纠正或风格化版本</x:v>
      </x:c>
      <x:c r="F15" s="13" t="str">
        <x:v>默认仅对无文字、无品牌标识的画面开放</x:v>
      </x:c>
      <x:c r="G15" s="13" t="str">
        <x:v>文字、Logo、手势、交通方向会被错误反转</x:v>
      </x:c>
      <x:c r="H15" s="13" t="str">
        <x:v>低</x:v>
      </x:c>
      <x:c r="I15" s="13" t="str">
        <x:v>待评估</x:v>
      </x:c>
      <x:c r="J15" s="13" t="str">
        <x:v>未开始</x:v>
      </x:c>
      <x:c r="K15" s="13" t="str"/>
      <x:c r="L15" s="13" t="str"/>
    </x:row>
    <x:row r="16" ht="60" customHeight="1">
      <x:c r="A16" s="13" t="n">
        <x:v>15</x:v>
      </x:c>
      <x:c r="B16" s="13" t="str">
        <x:v>动态视觉扰动</x:v>
      </x:c>
      <x:c r="C16" s="13" t="str">
        <x:v>速度微调</x:v>
      </x:c>
      <x:c r="D16" s="13" t="str">
        <x:v>支持整体速度、片段速度、变速曲线</x:v>
      </x:c>
      <x:c r="E16" s="13" t="str">
        <x:v>调整节奏，减少拖沓</x:v>
      </x:c>
      <x:c r="F16" s="13" t="str">
        <x:v>0.95x-1.08x；保留语音自然度</x:v>
      </x:c>
      <x:c r="G16" s="13" t="str">
        <x:v>语音变形、字幕错位、节奏不自然</x:v>
      </x:c>
      <x:c r="H16" s="13" t="str">
        <x:v>中</x:v>
      </x:c>
      <x:c r="I16" s="13" t="str">
        <x:v>待评估</x:v>
      </x:c>
      <x:c r="J16" s="13" t="str">
        <x:v>未开始</x:v>
      </x:c>
      <x:c r="K16" s="13" t="str"/>
      <x:c r="L16" s="13" t="str"/>
    </x:row>
    <x:row r="17" ht="60" customHeight="1">
      <x:c r="A17" s="13" t="n">
        <x:v>16</x:v>
      </x:c>
      <x:c r="B17" s="13" t="str">
        <x:v>动态视觉扰动</x:v>
      </x:c>
      <x:c r="C17" s="13" t="str">
        <x:v>帧率处理</x:v>
      </x:c>
      <x:c r="D17" s="13" t="str">
        <x:v>支持补帧、抽帧、帧率统一</x:v>
      </x:c>
      <x:c r="E17" s="13" t="str">
        <x:v>统一导出规格，改善卡顿</x:v>
      </x:c>
      <x:c r="F17" s="13" t="str">
        <x:v>统一到 25/30/60fps；动作类可补帧</x:v>
      </x:c>
      <x:c r="G17" s="13" t="str">
        <x:v>抽帧可能导致动作不连贯，补帧可能有鬼影</x:v>
      </x:c>
      <x:c r="H17" s="13" t="str">
        <x:v>中</x:v>
      </x:c>
      <x:c r="I17" s="13" t="str">
        <x:v>待评估</x:v>
      </x:c>
      <x:c r="J17" s="13" t="str">
        <x:v>未开始</x:v>
      </x:c>
      <x:c r="K17" s="13" t="str"/>
      <x:c r="L17" s="13" t="str"/>
    </x:row>
    <x:row r="18" ht="60" customHeight="1">
      <x:c r="A18" s="13" t="n">
        <x:v>17</x:v>
      </x:c>
      <x:c r="B18" s="13" t="str">
        <x:v>动态视觉扰动</x:v>
      </x:c>
      <x:c r="C18" s="13" t="str">
        <x:v>运动模糊</x:v>
      </x:c>
      <x:c r="D18" s="13" t="str">
        <x:v>支持动态模糊、方向模糊、转场模糊</x:v>
      </x:c>
      <x:c r="E18" s="13" t="str">
        <x:v>让转场和快速运动更自然</x:v>
      </x:c>
      <x:c r="F18" s="13" t="str">
        <x:v>强度低档；只作用于运动/转场段</x:v>
      </x:c>
      <x:c r="G18" s="13" t="str">
        <x:v>文字教程、电商细节展示不建议使用</x:v>
      </x:c>
      <x:c r="H18" s="13" t="str">
        <x:v>低</x:v>
      </x:c>
      <x:c r="I18" s="13" t="str">
        <x:v>待评估</x:v>
      </x:c>
      <x:c r="J18" s="13" t="str">
        <x:v>未开始</x:v>
      </x:c>
      <x:c r="K18" s="13" t="str"/>
      <x:c r="L18" s="13" t="str"/>
    </x:row>
    <x:row r="19" ht="60" customHeight="1">
      <x:c r="A19" s="13" t="n">
        <x:v>18</x:v>
      </x:c>
      <x:c r="B19" s="13" t="str">
        <x:v>动态视觉扰动</x:v>
      </x:c>
      <x:c r="C19" s="13" t="str">
        <x:v>画面抖动/胶片感</x:v>
      </x:c>
      <x:c r="D19" s="13" t="str">
        <x:v>支持轻微手持抖动、呼吸感、噪声动画</x:v>
      </x:c>
      <x:c r="E19" s="13" t="str">
        <x:v>提升 vlog/生活类素材真实感</x:v>
      </x:c>
      <x:c r="F19" s="13" t="str">
        <x:v>抖动强度 1%-3%；可按模板关闭</x:v>
      </x:c>
      <x:c r="G19" s="13" t="str">
        <x:v>教程、口播、商品展示中过度抖动会影响清晰度</x:v>
      </x:c>
      <x:c r="H19" s="13" t="str">
        <x:v>低</x:v>
      </x:c>
      <x:c r="I19" s="13" t="str">
        <x:v>待评估</x:v>
      </x:c>
      <x:c r="J19" s="13" t="str">
        <x:v>未开始</x:v>
      </x:c>
      <x:c r="K19" s="13" t="str"/>
      <x:c r="L19" s="13" t="str"/>
    </x:row>
    <x:row r="20" ht="60" customHeight="1">
      <x:c r="A20" s="13" t="n">
        <x:v>19</x:v>
      </x:c>
      <x:c r="B20" s="13" t="str">
        <x:v>剪辑结构与节奏</x:v>
      </x:c>
      <x:c r="C20" s="13" t="str">
        <x:v>片头片尾</x:v>
      </x:c>
      <x:c r="D20" s="13" t="str">
        <x:v>支持片头钩子、片尾 CTA、账号 Logo 模板</x:v>
      </x:c>
      <x:c r="E20" s="13" t="str">
        <x:v>提升完播率和账号识别度</x:v>
      </x:c>
      <x:c r="F20" s="13" t="str">
        <x:v>片头 1-3 秒；片尾 1-2 秒；可 AB 测试</x:v>
      </x:c>
      <x:c r="G20" s="13" t="str">
        <x:v>不要添加虚假承诺、夸大疗效或误导信息</x:v>
      </x:c>
      <x:c r="H20" s="13" t="str">
        <x:v>高</x:v>
      </x:c>
      <x:c r="I20" s="13" t="str">
        <x:v>待评估</x:v>
      </x:c>
      <x:c r="J20" s="13" t="str">
        <x:v>未开始</x:v>
      </x:c>
      <x:c r="K20" s="13" t="str"/>
      <x:c r="L20" s="13" t="str"/>
    </x:row>
    <x:row r="21" ht="60" customHeight="1">
      <x:c r="A21" s="13" t="n">
        <x:v>20</x:v>
      </x:c>
      <x:c r="B21" s="13" t="str">
        <x:v>剪辑结构与节奏</x:v>
      </x:c>
      <x:c r="C21" s="13" t="str">
        <x:v>场景切分</x:v>
      </x:c>
      <x:c r="D21" s="13" t="str">
        <x:v>自动按镜头/语音停顿切分片段</x:v>
      </x:c>
      <x:c r="E21" s="13" t="str">
        <x:v>方便批量重组和精剪</x:v>
      </x:c>
      <x:c r="F21" s="13" t="str">
        <x:v>按镜头检测+静音检测双策略；保留手动调整</x:v>
      </x:c>
      <x:c r="G21" s="13" t="str">
        <x:v>误切会影响语义和剧情连贯</x:v>
      </x:c>
      <x:c r="H21" s="13" t="str">
        <x:v>高</x:v>
      </x:c>
      <x:c r="I21" s="13" t="str">
        <x:v>待评估</x:v>
      </x:c>
      <x:c r="J21" s="13" t="str">
        <x:v>未开始</x:v>
      </x:c>
      <x:c r="K21" s="13" t="str"/>
      <x:c r="L21" s="13" t="str"/>
    </x:row>
    <x:row r="22" ht="60" customHeight="1">
      <x:c r="A22" s="13" t="n">
        <x:v>21</x:v>
      </x:c>
      <x:c r="B22" s="13" t="str">
        <x:v>剪辑结构与节奏</x:v>
      </x:c>
      <x:c r="C22" s="13" t="str">
        <x:v>顺序重排</x:v>
      </x:c>
      <x:c r="D22" s="13" t="str">
        <x:v>支持在不改变事实含义的前提下重排讲解结构</x:v>
      </x:c>
      <x:c r="E22" s="13" t="str">
        <x:v>优化信息呈现逻辑</x:v>
      </x:c>
      <x:c r="F22" s="13" t="str">
        <x:v>仅对教程、清单、口播摘要类内容启用</x:v>
      </x:c>
      <x:c r="G22" s="13" t="str">
        <x:v>剧情、新闻、证据类内容不可改变时序造成误导</x:v>
      </x:c>
      <x:c r="H22" s="13" t="str">
        <x:v>高</x:v>
      </x:c>
      <x:c r="I22" s="13" t="str">
        <x:v>待评估</x:v>
      </x:c>
      <x:c r="J22" s="13" t="str">
        <x:v>未开始</x:v>
      </x:c>
      <x:c r="K22" s="13" t="str"/>
      <x:c r="L22" s="13" t="str"/>
    </x:row>
    <x:row r="23" ht="60" customHeight="1">
      <x:c r="A23" s="13" t="n">
        <x:v>22</x:v>
      </x:c>
      <x:c r="B23" s="13" t="str">
        <x:v>剪辑结构与节奏</x:v>
      </x:c>
      <x:c r="C23" s="13" t="str">
        <x:v>删减冗余</x:v>
      </x:c>
      <x:c r="D23" s="13" t="str">
        <x:v>自动识别口癖、停顿、重复句、空镜</x:v>
      </x:c>
      <x:c r="E23" s="13" t="str">
        <x:v>压缩时长，提高信息密度</x:v>
      </x:c>
      <x:c r="F23" s="13" t="str">
        <x:v>停顿阈值 0.3-0.8 秒；支持人工保留</x:v>
      </x:c>
      <x:c r="G23" s="13" t="str">
        <x:v>删减过多会让语音不自然或断章取义</x:v>
      </x:c>
      <x:c r="H23" s="13" t="str">
        <x:v>高</x:v>
      </x:c>
      <x:c r="I23" s="13" t="str">
        <x:v>待评估</x:v>
      </x:c>
      <x:c r="J23" s="13" t="str">
        <x:v>未开始</x:v>
      </x:c>
      <x:c r="K23" s="13" t="str"/>
      <x:c r="L23" s="13" t="str"/>
    </x:row>
    <x:row r="24" ht="60" customHeight="1">
      <x:c r="A24" s="13" t="n">
        <x:v>23</x:v>
      </x:c>
      <x:c r="B24" s="13" t="str">
        <x:v>剪辑结构与节奏</x:v>
      </x:c>
      <x:c r="C24" s="13" t="str">
        <x:v>B-roll 插入</x:v>
      </x:c>
      <x:c r="D24" s="13" t="str">
        <x:v>支持插入授权素材、截图、产品图、演示画面</x:v>
      </x:c>
      <x:c r="E24" s="13" t="str">
        <x:v>补充视觉信息，减少单一画面疲劳</x:v>
      </x:c>
      <x:c r="F24" s="13" t="str">
        <x:v>素材需有来源记录；保持风格统一</x:v>
      </x:c>
      <x:c r="G24" s="13" t="str">
        <x:v>未经授权的影视/音乐/图片素材有版权风险</x:v>
      </x:c>
      <x:c r="H24" s="13" t="str">
        <x:v>高</x:v>
      </x:c>
      <x:c r="I24" s="13" t="str">
        <x:v>待评估</x:v>
      </x:c>
      <x:c r="J24" s="13" t="str">
        <x:v>未开始</x:v>
      </x:c>
      <x:c r="K24" s="13" t="str"/>
      <x:c r="L24" s="13" t="str"/>
    </x:row>
    <x:row r="25" ht="60" customHeight="1">
      <x:c r="A25" s="13" t="n">
        <x:v>24</x:v>
      </x:c>
      <x:c r="B25" s="13" t="str">
        <x:v>剪辑结构与节奏</x:v>
      </x:c>
      <x:c r="C25" s="13" t="str">
        <x:v>转场模板</x:v>
      </x:c>
      <x:c r="D25" s="13" t="str">
        <x:v>支持淡入淡出、推拉、擦除、匹配剪辑</x:v>
      </x:c>
      <x:c r="E25" s="13" t="str">
        <x:v>提升段落衔接和节奏感</x:v>
      </x:c>
      <x:c r="F25" s="13" t="str">
        <x:v>每 5-10 秒内最多 1 次明显转场</x:v>
      </x:c>
      <x:c r="G25" s="13" t="str">
        <x:v>花哨转场会降低专业度</x:v>
      </x:c>
      <x:c r="H25" s="13" t="str">
        <x:v>中</x:v>
      </x:c>
      <x:c r="I25" s="13" t="str">
        <x:v>待评估</x:v>
      </x:c>
      <x:c r="J25" s="13" t="str">
        <x:v>未开始</x:v>
      </x:c>
      <x:c r="K25" s="13" t="str"/>
      <x:c r="L25" s="13" t="str"/>
    </x:row>
    <x:row r="26" ht="60" customHeight="1">
      <x:c r="A26" s="13" t="n">
        <x:v>25</x:v>
      </x:c>
      <x:c r="B26" s="13" t="str">
        <x:v>剪辑结构与节奏</x:v>
      </x:c>
      <x:c r="C26" s="13" t="str">
        <x:v>节拍卡点</x:v>
      </x:c>
      <x:c r="D26" s="13" t="str">
        <x:v>按音乐 BPM、语音重点自动卡点</x:v>
      </x:c>
      <x:c r="E26" s="13" t="str">
        <x:v>增强短视频节奏和记忆点</x:v>
      </x:c>
      <x:c r="F26" s="13" t="str">
        <x:v>检测重拍；关键镜头对齐鼓点或重音</x:v>
      </x:c>
      <x:c r="G26" s="13" t="str">
        <x:v>卡点不应牺牲内容清晰度</x:v>
      </x:c>
      <x:c r="H26" s="13" t="str">
        <x:v>中</x:v>
      </x:c>
      <x:c r="I26" s="13" t="str">
        <x:v>待评估</x:v>
      </x:c>
      <x:c r="J26" s="13" t="str">
        <x:v>未开始</x:v>
      </x:c>
      <x:c r="K26" s="13" t="str"/>
      <x:c r="L26" s="13" t="str"/>
    </x:row>
    <x:row r="27" ht="60" customHeight="1">
      <x:c r="A27" s="13" t="n">
        <x:v>26</x:v>
      </x:c>
      <x:c r="B27" s="13" t="str">
        <x:v>剪辑结构与节奏</x:v>
      </x:c>
      <x:c r="C27" s="13" t="str">
        <x:v>多版本生成</x:v>
      </x:c>
      <x:c r="D27" s="13" t="str">
        <x:v>同一素材生成不同开头/节奏/封面版本</x:v>
      </x:c>
      <x:c r="E27" s="13" t="str">
        <x:v>用于 AB 测试标题和结构</x:v>
      </x:c>
      <x:c r="F27" s="13" t="str">
        <x:v>每条素材 3-5 个合规版本；记录参数</x:v>
      </x:c>
      <x:c r="G27" s="13" t="str">
        <x:v>版本差异应以内容优化为主，不应误导平台或用户</x:v>
      </x:c>
      <x:c r="H27" s="13" t="str">
        <x:v>中</x:v>
      </x:c>
      <x:c r="I27" s="13" t="str">
        <x:v>待评估</x:v>
      </x:c>
      <x:c r="J27" s="13" t="str">
        <x:v>未开始</x:v>
      </x:c>
      <x:c r="K27" s="13" t="str"/>
      <x:c r="L27" s="13" t="str"/>
    </x:row>
    <x:row r="28" ht="60" customHeight="1">
      <x:c r="A28" s="13" t="n">
        <x:v>27</x:v>
      </x:c>
      <x:c r="B28" s="13" t="str">
        <x:v>字幕/文字/贴纸</x:v>
      </x:c>
      <x:c r="C28" s="13" t="str">
        <x:v>自动字幕</x:v>
      </x:c>
      <x:c r="D28" s="13" t="str">
        <x:v>ASR 自动识别、断句、时间轴校正</x:v>
      </x:c>
      <x:c r="E28" s="13" t="str">
        <x:v>提升无声观看体验和信息获取效率</x:v>
      </x:c>
      <x:c r="F28" s="13" t="str">
        <x:v>字幕滞后小于 200ms；每行 8-14 中文字</x:v>
      </x:c>
      <x:c r="G28" s="13" t="str">
        <x:v>错字、同音词需人工复核，尤其是价格/剂量/日期</x:v>
      </x:c>
      <x:c r="H28" s="13" t="str">
        <x:v>高</x:v>
      </x:c>
      <x:c r="I28" s="13" t="str">
        <x:v>待评估</x:v>
      </x:c>
      <x:c r="J28" s="13" t="str">
        <x:v>未开始</x:v>
      </x:c>
      <x:c r="K28" s="13" t="str"/>
      <x:c r="L28" s="13" t="str"/>
    </x:row>
    <x:row r="29" ht="60" customHeight="1">
      <x:c r="A29" s="13" t="n">
        <x:v>28</x:v>
      </x:c>
      <x:c r="B29" s="13" t="str">
        <x:v>字幕/文字/贴纸</x:v>
      </x:c>
      <x:c r="C29" s="13" t="str">
        <x:v>字幕样式</x:v>
      </x:c>
      <x:c r="D29" s="13" t="str">
        <x:v>支持字体、描边、阴影、背景条、关键词高亮</x:v>
      </x:c>
      <x:c r="E29" s="13" t="str">
        <x:v>增强可读性和重点表达</x:v>
      </x:c>
      <x:c r="F29" s="13" t="str">
        <x:v>字号按平台安全区；关键词高亮不超过 20% 字幕</x:v>
      </x:c>
      <x:c r="G29" s="13" t="str">
        <x:v>过度花哨会遮挡画面主体</x:v>
      </x:c>
      <x:c r="H29" s="13" t="str">
        <x:v>高</x:v>
      </x:c>
      <x:c r="I29" s="13" t="str">
        <x:v>待评估</x:v>
      </x:c>
      <x:c r="J29" s="13" t="str">
        <x:v>未开始</x:v>
      </x:c>
      <x:c r="K29" s="13" t="str"/>
      <x:c r="L29" s="13" t="str"/>
    </x:row>
    <x:row r="30" ht="60" customHeight="1">
      <x:c r="A30" s="13" t="n">
        <x:v>29</x:v>
      </x:c>
      <x:c r="B30" s="13" t="str">
        <x:v>字幕/文字/贴纸</x:v>
      </x:c>
      <x:c r="C30" s="13" t="str">
        <x:v>字幕位置</x:v>
      </x:c>
      <x:c r="D30" s="13" t="str">
        <x:v>支持避让人脸、商品、平台 UI 安全区</x:v>
      </x:c>
      <x:c r="E30" s="13" t="str">
        <x:v>减少遮挡，适配不同平台界面</x:v>
      </x:c>
      <x:c r="F30" s="13" t="str">
        <x:v>底部字幕留出评论/按钮区域；支持安全区预览</x:v>
      </x:c>
      <x:c r="G30" s="13" t="str">
        <x:v>平台 UI 区域变化需定期更新模板</x:v>
      </x:c>
      <x:c r="H30" s="13" t="str">
        <x:v>高</x:v>
      </x:c>
      <x:c r="I30" s="13" t="str">
        <x:v>待评估</x:v>
      </x:c>
      <x:c r="J30" s="13" t="str">
        <x:v>未开始</x:v>
      </x:c>
      <x:c r="K30" s="13" t="str"/>
      <x:c r="L30" s="13" t="str"/>
    </x:row>
    <x:row r="31" ht="60" customHeight="1">
      <x:c r="A31" s="13" t="n">
        <x:v>30</x:v>
      </x:c>
      <x:c r="B31" s="13" t="str">
        <x:v>字幕/文字/贴纸</x:v>
      </x:c>
      <x:c r="C31" s="13" t="str">
        <x:v>标题卡</x:v>
      </x:c>
      <x:c r="D31" s="13" t="str">
        <x:v>支持开场标题、章节标题、信息卡片</x:v>
      </x:c>
      <x:c r="E31" s="13" t="str">
        <x:v>让用户快速理解主题</x:v>
      </x:c>
      <x:c r="F31" s="13" t="str">
        <x:v>标题 8-18 字；首屏 1 秒内出现</x:v>
      </x:c>
      <x:c r="G31" s="13" t="str">
        <x:v>标题不得夸大、虚假或诱导点击</x:v>
      </x:c>
      <x:c r="H31" s="13" t="str">
        <x:v>高</x:v>
      </x:c>
      <x:c r="I31" s="13" t="str">
        <x:v>待评估</x:v>
      </x:c>
      <x:c r="J31" s="13" t="str">
        <x:v>未开始</x:v>
      </x:c>
      <x:c r="K31" s="13" t="str"/>
      <x:c r="L31" s="13" t="str"/>
    </x:row>
    <x:row r="32" ht="60" customHeight="1">
      <x:c r="A32" s="13" t="n">
        <x:v>31</x:v>
      </x:c>
      <x:c r="B32" s="13" t="str">
        <x:v>字幕/文字/贴纸</x:v>
      </x:c>
      <x:c r="C32" s="13" t="str">
        <x:v>贴纸/Emoji</x:v>
      </x:c>
      <x:c r="D32" s="13" t="str">
        <x:v>支持表情、箭头、圈画、提示框</x:v>
      </x:c>
      <x:c r="E32" s="13" t="str">
        <x:v>突出重点，增强轻松感</x:v>
      </x:c>
      <x:c r="F32" s="13" t="str">
        <x:v>单屏 1-3 个元素；透明度/动画可控</x:v>
      </x:c>
      <x:c r="G32" s="13" t="str">
        <x:v>严肃、医疗、金融、新闻类内容慎用</x:v>
      </x:c>
      <x:c r="H32" s="13" t="str">
        <x:v>中</x:v>
      </x:c>
      <x:c r="I32" s="13" t="str">
        <x:v>待评估</x:v>
      </x:c>
      <x:c r="J32" s="13" t="str">
        <x:v>未开始</x:v>
      </x:c>
      <x:c r="K32" s="13" t="str"/>
      <x:c r="L32" s="13" t="str"/>
    </x:row>
    <x:row r="33" ht="60" customHeight="1">
      <x:c r="A33" s="13" t="n">
        <x:v>32</x:v>
      </x:c>
      <x:c r="B33" s="13" t="str">
        <x:v>字幕/文字/贴纸</x:v>
      </x:c>
      <x:c r="C33" s="13" t="str">
        <x:v>进度条</x:v>
      </x:c>
      <x:c r="D33" s="13" t="str">
        <x:v>支持顶部/底部进度条或章节进度</x:v>
      </x:c>
      <x:c r="E33" s="13" t="str">
        <x:v>提升完播预期，适合教程/清单类</x:v>
      </x:c>
      <x:c r="F33" s="13" t="str">
        <x:v>细线 2-6px；与品牌色一致</x:v>
      </x:c>
      <x:c r="G33" s="13" t="str">
        <x:v>不适合剧情反转或沉浸式内容</x:v>
      </x:c>
      <x:c r="H33" s="13" t="str">
        <x:v>低</x:v>
      </x:c>
      <x:c r="I33" s="13" t="str">
        <x:v>待评估</x:v>
      </x:c>
      <x:c r="J33" s="13" t="str">
        <x:v>未开始</x:v>
      </x:c>
      <x:c r="K33" s="13" t="str"/>
      <x:c r="L33" s="13" t="str"/>
    </x:row>
    <x:row r="34" ht="60" customHeight="1">
      <x:c r="A34" s="13" t="n">
        <x:v>33</x:v>
      </x:c>
      <x:c r="B34" s="13" t="str">
        <x:v>字幕/文字/贴纸</x:v>
      </x:c>
      <x:c r="C34" s="13" t="str">
        <x:v>水印/品牌标识</x:v>
      </x:c>
      <x:c r="D34" s="13" t="str">
        <x:v>支持自有 Logo、账号 ID、版权声明</x:v>
      </x:c>
      <x:c r="E34" s="13" t="str">
        <x:v>标明出处和账号资产</x:v>
      </x:c>
      <x:c r="F34" s="13" t="str">
        <x:v>固定安全区；透明度 50%-80%</x:v>
      </x:c>
      <x:c r="G34" s="13" t="str">
        <x:v>不得覆盖或移除他人版权标识</x:v>
      </x:c>
      <x:c r="H34" s="13" t="str">
        <x:v>高</x:v>
      </x:c>
      <x:c r="I34" s="13" t="str">
        <x:v>待评估</x:v>
      </x:c>
      <x:c r="J34" s="13" t="str">
        <x:v>未开始</x:v>
      </x:c>
      <x:c r="K34" s="13" t="str"/>
      <x:c r="L34" s="13" t="str"/>
    </x:row>
    <x:row r="35" ht="60" customHeight="1">
      <x:c r="A35" s="13" t="n">
        <x:v>34</x:v>
      </x:c>
      <x:c r="B35" s="13" t="str">
        <x:v>字幕/文字/贴纸</x:v>
      </x:c>
      <x:c r="C35" s="13" t="str">
        <x:v>封面模板</x:v>
      </x:c>
      <x:c r="D35" s="13" t="str">
        <x:v>支持封面截帧、标题、人物/商品抠图</x:v>
      </x:c>
      <x:c r="E35" s="13" t="str">
        <x:v>提升点击率和系列感</x:v>
      </x:c>
      <x:c r="F35" s="13" t="str">
        <x:v>同账号模板 3-6 套；标题清晰可读</x:v>
      </x:c>
      <x:c r="G35" s="13" t="str">
        <x:v>封面不得与正片内容不一致或误导</x:v>
      </x:c>
      <x:c r="H35" s="13" t="str">
        <x:v>高</x:v>
      </x:c>
      <x:c r="I35" s="13" t="str">
        <x:v>待评估</x:v>
      </x:c>
      <x:c r="J35" s="13" t="str">
        <x:v>未开始</x:v>
      </x:c>
      <x:c r="K35" s="13" t="str"/>
      <x:c r="L35" s="13" t="str"/>
    </x:row>
    <x:row r="36" ht="60" customHeight="1">
      <x:c r="A36" s="13" t="n">
        <x:v>35</x:v>
      </x:c>
      <x:c r="B36" s="13" t="str">
        <x:v>字幕/文字/贴纸</x:v>
      </x:c>
      <x:c r="C36" s="13" t="str">
        <x:v>多语言字幕</x:v>
      </x:c>
      <x:c r="D36" s="13" t="str">
        <x:v>支持双语字幕、翻译校对、地区化词库</x:v>
      </x:c>
      <x:c r="E36" s="13" t="str">
        <x:v>扩大受众范围</x:v>
      </x:c>
      <x:c r="F36" s="13" t="str">
        <x:v>术语表/品牌词锁定；人工抽检</x:v>
      </x:c>
      <x:c r="G36" s="13" t="str">
        <x:v>机器翻译可能改变语义或产生文化冒犯</x:v>
      </x:c>
      <x:c r="H36" s="13" t="str">
        <x:v>中</x:v>
      </x:c>
      <x:c r="I36" s="13" t="str">
        <x:v>待评估</x:v>
      </x:c>
      <x:c r="J36" s="13" t="str">
        <x:v>未开始</x:v>
      </x:c>
      <x:c r="K36" s="13" t="str"/>
      <x:c r="L36" s="13" t="str"/>
    </x:row>
    <x:row r="37" ht="60" customHeight="1">
      <x:c r="A37" s="13" t="n">
        <x:v>36</x:v>
      </x:c>
      <x:c r="B37" s="13" t="str">
        <x:v>音频处理</x:v>
      </x:c>
      <x:c r="C37" s="13" t="str">
        <x:v>音量标准化</x:v>
      </x:c>
      <x:c r="D37" s="13" t="str">
        <x:v>响度归一、峰值限制、片段音量平衡</x:v>
      </x:c>
      <x:c r="E37" s="13" t="str">
        <x:v>避免忽大忽小，适配平台播放</x:v>
      </x:c>
      <x:c r="F37" s="13" t="str">
        <x:v>LUFS 目标按平台/内容类型预设；True Peak 限制</x:v>
      </x:c>
      <x:c r="G37" s="13" t="str">
        <x:v>过度压缩会让声音疲劳、失真</x:v>
      </x:c>
      <x:c r="H37" s="13" t="str">
        <x:v>高</x:v>
      </x:c>
      <x:c r="I37" s="13" t="str">
        <x:v>待评估</x:v>
      </x:c>
      <x:c r="J37" s="13" t="str">
        <x:v>未开始</x:v>
      </x:c>
      <x:c r="K37" s="13" t="str"/>
      <x:c r="L37" s="13" t="str"/>
    </x:row>
    <x:row r="38" ht="60" customHeight="1">
      <x:c r="A38" s="13" t="n">
        <x:v>37</x:v>
      </x:c>
      <x:c r="B38" s="13" t="str">
        <x:v>音频处理</x:v>
      </x:c>
      <x:c r="C38" s="13" t="str">
        <x:v>降噪</x:v>
      </x:c>
      <x:c r="D38" s="13" t="str">
        <x:v>背景噪声、人声底噪、风噪去除</x:v>
      </x:c>
      <x:c r="E38" s="13" t="str">
        <x:v>提升语音可懂度</x:v>
      </x:c>
      <x:c r="F38" s="13" t="str">
        <x:v>低/中/高三档；保留环境感选项</x:v>
      </x:c>
      <x:c r="G38" s="13" t="str">
        <x:v>强降噪会出现金属音、水下感</x:v>
      </x:c>
      <x:c r="H38" s="13" t="str">
        <x:v>高</x:v>
      </x:c>
      <x:c r="I38" s="13" t="str">
        <x:v>待评估</x:v>
      </x:c>
      <x:c r="J38" s="13" t="str">
        <x:v>未开始</x:v>
      </x:c>
      <x:c r="K38" s="13" t="str"/>
      <x:c r="L38" s="13" t="str"/>
    </x:row>
    <x:row r="39" ht="60" customHeight="1">
      <x:c r="A39" s="13" t="n">
        <x:v>38</x:v>
      </x:c>
      <x:c r="B39" s="13" t="str">
        <x:v>音频处理</x:v>
      </x:c>
      <x:c r="C39" s="13" t="str">
        <x:v>音调微调</x:v>
      </x:c>
      <x:c r="D39" s="13" t="str">
        <x:v>支持人声音调 Pitch 轻微调整</x:v>
      </x:c>
      <x:c r="E39" s="13" t="str">
        <x:v>做风格化处理或修正音高</x:v>
      </x:c>
      <x:c r="F39" s="13" t="str">
        <x:v>±0.5-1.5 semitone；与语速联动预览</x:v>
      </x:c>
      <x:c r="G39" s="13" t="str">
        <x:v>过度会让人声不自然，注意肖像/声音权益</x:v>
      </x:c>
      <x:c r="H39" s="13" t="str">
        <x:v>中</x:v>
      </x:c>
      <x:c r="I39" s="13" t="str">
        <x:v>待评估</x:v>
      </x:c>
      <x:c r="J39" s="13" t="str">
        <x:v>未开始</x:v>
      </x:c>
      <x:c r="K39" s="13" t="str"/>
      <x:c r="L39" s="13" t="str"/>
    </x:row>
    <x:row r="40" ht="60" customHeight="1">
      <x:c r="A40" s="13" t="n">
        <x:v>39</x:v>
      </x:c>
      <x:c r="B40" s="13" t="str">
        <x:v>音频处理</x:v>
      </x:c>
      <x:c r="C40" s="13" t="str">
        <x:v>语速/节奏</x:v>
      </x:c>
      <x:c r="D40" s="13" t="str">
        <x:v>支持不变调变速、停顿压缩、语气保留</x:v>
      </x:c>
      <x:c r="E40" s="13" t="str">
        <x:v>提高信息密度与观看节奏</x:v>
      </x:c>
      <x:c r="F40" s="13" t="str">
        <x:v>0.96x-1.10x；口播先剪停顿再变速</x:v>
      </x:c>
      <x:c r="G40" s="13" t="str">
        <x:v>字幕需同步更新，避免压迫感</x:v>
      </x:c>
      <x:c r="H40" s="13" t="str">
        <x:v>高</x:v>
      </x:c>
      <x:c r="I40" s="13" t="str">
        <x:v>待评估</x:v>
      </x:c>
      <x:c r="J40" s="13" t="str">
        <x:v>未开始</x:v>
      </x:c>
      <x:c r="K40" s="13" t="str"/>
      <x:c r="L40" s="13" t="str"/>
    </x:row>
    <x:row r="41" ht="60" customHeight="1">
      <x:c r="A41" s="13" t="n">
        <x:v>40</x:v>
      </x:c>
      <x:c r="B41" s="13" t="str">
        <x:v>音频处理</x:v>
      </x:c>
      <x:c r="C41" s="13" t="str">
        <x:v>EQ 均衡</x:v>
      </x:c>
      <x:c r="D41" s="13" t="str">
        <x:v>支持低切、齿音控制、人声增强</x:v>
      </x:c>
      <x:c r="E41" s="13" t="str">
        <x:v>提升人声清晰度</x:v>
      </x:c>
      <x:c r="F41" s="13" t="str">
        <x:v>低切 70-100Hz；人声 2-4kHz 轻推</x:v>
      </x:c>
      <x:c r="G41" s="13" t="str">
        <x:v>齿音过强、低频削太多会变薄</x:v>
      </x:c>
      <x:c r="H41" s="13" t="str">
        <x:v>中</x:v>
      </x:c>
      <x:c r="I41" s="13" t="str">
        <x:v>待评估</x:v>
      </x:c>
      <x:c r="J41" s="13" t="str">
        <x:v>未开始</x:v>
      </x:c>
      <x:c r="K41" s="13" t="str"/>
      <x:c r="L41" s="13" t="str"/>
    </x:row>
    <x:row r="42" ht="60" customHeight="1">
      <x:c r="A42" s="13" t="n">
        <x:v>41</x:v>
      </x:c>
      <x:c r="B42" s="13" t="str">
        <x:v>音频处理</x:v>
      </x:c>
      <x:c r="C42" s="13" t="str">
        <x:v>混响/空间感</x:v>
      </x:c>
      <x:c r="D42" s="13" t="str">
        <x:v>轻微混响、房间声、空间模拟</x:v>
      </x:c>
      <x:c r="E42" s="13" t="str">
        <x:v>匹配素材环境或增强氛围</x:v>
      </x:c>
      <x:c r="F42" s="13" t="str">
        <x:v>口播默认弱混响；音乐类可场景化</x:v>
      </x:c>
      <x:c r="G42" s="13" t="str">
        <x:v>信息类视频不宜混响太重</x:v>
      </x:c>
      <x:c r="H42" s="13" t="str">
        <x:v>低</x:v>
      </x:c>
      <x:c r="I42" s="13" t="str">
        <x:v>待评估</x:v>
      </x:c>
      <x:c r="J42" s="13" t="str">
        <x:v>未开始</x:v>
      </x:c>
      <x:c r="K42" s="13" t="str"/>
      <x:c r="L42" s="13" t="str"/>
    </x:row>
    <x:row r="43" ht="60" customHeight="1">
      <x:c r="A43" s="13" t="n">
        <x:v>42</x:v>
      </x:c>
      <x:c r="B43" s="13" t="str">
        <x:v>音频处理</x:v>
      </x:c>
      <x:c r="C43" s="13" t="str">
        <x:v>背景音乐</x:v>
      </x:c>
      <x:c r="D43" s="13" t="str">
        <x:v>支持曲库、BGM 自动匹配、音量 ducking</x:v>
      </x:c>
      <x:c r="E43" s="13" t="str">
        <x:v>增强情绪和节奏</x:v>
      </x:c>
      <x:c r="F43" s="13" t="str">
        <x:v>BGM 低于人声 12-18dB；使用授权曲库</x:v>
      </x:c>
      <x:c r="G43" s="13" t="str">
        <x:v>音乐版权是高风险点，需记录授权来源</x:v>
      </x:c>
      <x:c r="H43" s="13" t="str">
        <x:v>高</x:v>
      </x:c>
      <x:c r="I43" s="13" t="str">
        <x:v>待评估</x:v>
      </x:c>
      <x:c r="J43" s="13" t="str">
        <x:v>未开始</x:v>
      </x:c>
      <x:c r="K43" s="13" t="str"/>
      <x:c r="L43" s="13" t="str"/>
    </x:row>
    <x:row r="44" ht="60" customHeight="1">
      <x:c r="A44" s="13" t="n">
        <x:v>43</x:v>
      </x:c>
      <x:c r="B44" s="13" t="str">
        <x:v>音频处理</x:v>
      </x:c>
      <x:c r="C44" s="13" t="str">
        <x:v>音效</x:v>
      </x:c>
      <x:c r="D44" s="13" t="str">
        <x:v>转场音、点击音、强调音、环境音</x:v>
      </x:c>
      <x:c r="E44" s="13" t="str">
        <x:v>强化动作反馈和节奏点</x:v>
      </x:c>
      <x:c r="F44" s="13" t="str">
        <x:v>单段 1-3 个音效；音量低于人声</x:v>
      </x:c>
      <x:c r="G44" s="13" t="str">
        <x:v>音效过多会廉价、打断内容</x:v>
      </x:c>
      <x:c r="H44" s="13" t="str">
        <x:v>中</x:v>
      </x:c>
      <x:c r="I44" s="13" t="str">
        <x:v>待评估</x:v>
      </x:c>
      <x:c r="J44" s="13" t="str">
        <x:v>未开始</x:v>
      </x:c>
      <x:c r="K44" s="13" t="str"/>
      <x:c r="L44" s="13" t="str"/>
    </x:row>
    <x:row r="45" ht="60" customHeight="1">
      <x:c r="A45" s="13" t="n">
        <x:v>44</x:v>
      </x:c>
      <x:c r="B45" s="13" t="str">
        <x:v>音频处理</x:v>
      </x:c>
      <x:c r="C45" s="13" t="str">
        <x:v>配音/TTS</x:v>
      </x:c>
      <x:c r="D45" s="13" t="str">
        <x:v>支持真人配音、TTS、多音色、多语言</x:v>
      </x:c>
      <x:c r="E45" s="13" t="str">
        <x:v>制作解释版、地区化版本、无原声版本</x:v>
      </x:c>
      <x:c r="F45" s="13" t="str">
        <x:v>保留脚本审校流程；标记 AI 配音</x:v>
      </x:c>
      <x:c r="G45" s="13" t="str">
        <x:v>不得冒充真人或未经同意克隆声音</x:v>
      </x:c>
      <x:c r="H45" s="13" t="str">
        <x:v>高</x:v>
      </x:c>
      <x:c r="I45" s="13" t="str">
        <x:v>待评估</x:v>
      </x:c>
      <x:c r="J45" s="13" t="str">
        <x:v>未开始</x:v>
      </x:c>
      <x:c r="K45" s="13" t="str"/>
      <x:c r="L45" s="13" t="str"/>
    </x:row>
    <x:row r="46" ht="60" customHeight="1">
      <x:c r="A46" s="13" t="n">
        <x:v>45</x:v>
      </x:c>
      <x:c r="B46" s="13" t="str">
        <x:v>音频处理</x:v>
      </x:c>
      <x:c r="C46" s="13" t="str">
        <x:v>声道处理</x:v>
      </x:c>
      <x:c r="D46" s="13" t="str">
        <x:v>支持单声道转双声道、声像、相位检测</x:v>
      </x:c>
      <x:c r="E46" s="13" t="str">
        <x:v>避免单边耳机有声或相位抵消</x:v>
      </x:c>
      <x:c r="F46" s="13" t="str">
        <x:v>导出前相位/峰值检查</x:v>
      </x:c>
      <x:c r="G46" s="13" t="str">
        <x:v>错误声道会导致平台转码后声音变小</x:v>
      </x:c>
      <x:c r="H46" s="13" t="str">
        <x:v>中</x:v>
      </x:c>
      <x:c r="I46" s="13" t="str">
        <x:v>待评估</x:v>
      </x:c>
      <x:c r="J46" s="13" t="str">
        <x:v>未开始</x:v>
      </x:c>
      <x:c r="K46" s="13" t="str"/>
      <x:c r="L46" s="13" t="str"/>
    </x:row>
    <x:row r="47" ht="60" customHeight="1">
      <x:c r="A47" s="13" t="n">
        <x:v>46</x:v>
      </x:c>
      <x:c r="B47" s="13" t="str">
        <x:v>编码与导出</x:v>
      </x:c>
      <x:c r="C47" s="13" t="str">
        <x:v>分辨率/画幅</x:v>
      </x:c>
      <x:c r="D47" s="13" t="str">
        <x:v>支持 720p/1080p/2K/4K、9:16/1:1/16:9</x:v>
      </x:c>
      <x:c r="E47" s="13" t="str">
        <x:v>适配不同平台和投放场景</x:v>
      </x:c>
      <x:c r="F47" s="13" t="str">
        <x:v>短视频默认 1080x1920；保留安全区预览</x:v>
      </x:c>
      <x:c r="G47" s="13" t="str">
        <x:v>低分辨率会糊，高分辨率增加处理成本</x:v>
      </x:c>
      <x:c r="H47" s="13" t="str">
        <x:v>高</x:v>
      </x:c>
      <x:c r="I47" s="13" t="str">
        <x:v>待评估</x:v>
      </x:c>
      <x:c r="J47" s="13" t="str">
        <x:v>未开始</x:v>
      </x:c>
      <x:c r="K47" s="13" t="str"/>
      <x:c r="L47" s="13" t="str"/>
    </x:row>
    <x:row r="48" ht="60" customHeight="1">
      <x:c r="A48" s="13" t="n">
        <x:v>47</x:v>
      </x:c>
      <x:c r="B48" s="13" t="str">
        <x:v>编码与导出</x:v>
      </x:c>
      <x:c r="C48" s="13" t="str">
        <x:v>码率</x:v>
      </x:c>
      <x:c r="D48" s="13" t="str">
        <x:v>支持固定码率、可变码率、质量优先导出</x:v>
      </x:c>
      <x:c r="E48" s="13" t="str">
        <x:v>兼顾清晰度、体积和上传速度</x:v>
      </x:c>
      <x:c r="F48" s="13" t="str">
        <x:v>1080p 常用 8-20 Mbps；按素材复杂度调整</x:v>
      </x:c>
      <x:c r="G48" s="13" t="str">
        <x:v>码率过低有块状噪声，过高收益有限</x:v>
      </x:c>
      <x:c r="H48" s="13" t="str">
        <x:v>高</x:v>
      </x:c>
      <x:c r="I48" s="13" t="str">
        <x:v>待评估</x:v>
      </x:c>
      <x:c r="J48" s="13" t="str">
        <x:v>未开始</x:v>
      </x:c>
      <x:c r="K48" s="13" t="str"/>
      <x:c r="L48" s="13" t="str"/>
    </x:row>
    <x:row r="49" ht="60" customHeight="1">
      <x:c r="A49" s="13" t="n">
        <x:v>48</x:v>
      </x:c>
      <x:c r="B49" s="13" t="str">
        <x:v>编码与导出</x:v>
      </x:c>
      <x:c r="C49" s="13" t="str">
        <x:v>编码器</x:v>
      </x:c>
      <x:c r="D49" s="13" t="str">
        <x:v>支持 H.264/H.265/AV1、硬件加速</x:v>
      </x:c>
      <x:c r="E49" s="13" t="str">
        <x:v>匹配平台兼容性和成本</x:v>
      </x:c>
      <x:c r="F49" s="13" t="str">
        <x:v>H.264 兼容优先；H.265/AV1 用于高压缩场景</x:v>
      </x:c>
      <x:c r="G49" s="13" t="str">
        <x:v>部分平台或老设备对新编码兼容差</x:v>
      </x:c>
      <x:c r="H49" s="13" t="str">
        <x:v>中</x:v>
      </x:c>
      <x:c r="I49" s="13" t="str">
        <x:v>待评估</x:v>
      </x:c>
      <x:c r="J49" s="13" t="str">
        <x:v>未开始</x:v>
      </x:c>
      <x:c r="K49" s="13" t="str"/>
      <x:c r="L49" s="13" t="str"/>
    </x:row>
    <x:row r="50" ht="60" customHeight="1">
      <x:c r="A50" s="13" t="n">
        <x:v>49</x:v>
      </x:c>
      <x:c r="B50" s="13" t="str">
        <x:v>编码与导出</x:v>
      </x:c>
      <x:c r="C50" s="13" t="str">
        <x:v>关键帧/GOP</x:v>
      </x:c>
      <x:c r="D50" s="13" t="str">
        <x:v>支持 GOP、关键帧间隔、场景切换关键帧</x:v>
      </x:c>
      <x:c r="E50" s="13" t="str">
        <x:v>改善拖动预览和平台转码质量</x:v>
      </x:c>
      <x:c r="F50" s="13" t="str">
        <x:v>关键帧间隔 1-2 秒；场景切换可强制关键帧</x:v>
      </x:c>
      <x:c r="G50" s="13" t="str">
        <x:v>GOP 不合理会拖动卡顿或体积变大</x:v>
      </x:c>
      <x:c r="H50" s="13" t="str">
        <x:v>中</x:v>
      </x:c>
      <x:c r="I50" s="13" t="str">
        <x:v>待评估</x:v>
      </x:c>
      <x:c r="J50" s="13" t="str">
        <x:v>未开始</x:v>
      </x:c>
      <x:c r="K50" s="13" t="str"/>
      <x:c r="L50" s="13" t="str"/>
    </x:row>
    <x:row r="51" ht="60" customHeight="1">
      <x:c r="A51" s="13" t="n">
        <x:v>50</x:v>
      </x:c>
      <x:c r="B51" s="13" t="str">
        <x:v>编码与导出</x:v>
      </x:c>
      <x:c r="C51" s="13" t="str">
        <x:v>帧率导出</x:v>
      </x:c>
      <x:c r="D51" s="13" t="str">
        <x:v>支持 24/25/30/50/60fps 统一输出</x:v>
      </x:c>
      <x:c r="E51" s="13" t="str">
        <x:v>避免混帧和平台转码问题</x:v>
      </x:c>
      <x:c r="F51" s="13" t="str">
        <x:v>与原素材接近；口播 25/30fps 足够</x:v>
      </x:c>
      <x:c r="G51" s="13" t="str">
        <x:v>强转高帧率不等于真实流畅</x:v>
      </x:c>
      <x:c r="H51" s="13" t="str">
        <x:v>中</x:v>
      </x:c>
      <x:c r="I51" s="13" t="str">
        <x:v>待评估</x:v>
      </x:c>
      <x:c r="J51" s="13" t="str">
        <x:v>未开始</x:v>
      </x:c>
      <x:c r="K51" s="13" t="str"/>
      <x:c r="L51" s="13" t="str"/>
    </x:row>
    <x:row r="52" ht="60" customHeight="1">
      <x:c r="A52" s="13" t="n">
        <x:v>51</x:v>
      </x:c>
      <x:c r="B52" s="13" t="str">
        <x:v>编码与导出</x:v>
      </x:c>
      <x:c r="C52" s="13" t="str">
        <x:v>色彩空间</x:v>
      </x:c>
      <x:c r="D52" s="13" t="str">
        <x:v>支持 Rec.709、HDR/SDR 转换、色彩标签</x:v>
      </x:c>
      <x:c r="E52" s="13" t="str">
        <x:v>保证不同设备显示一致</x:v>
      </x:c>
      <x:c r="F52" s="13" t="str">
        <x:v>短视频默认 Rec.709 SDR；HDR 单独流程</x:v>
      </x:c>
      <x:c r="G52" s="13" t="str">
        <x:v>HDR 转 SDR 错误会灰、曝、偏色</x:v>
      </x:c>
      <x:c r="H52" s="13" t="str">
        <x:v>中</x:v>
      </x:c>
      <x:c r="I52" s="13" t="str">
        <x:v>待评估</x:v>
      </x:c>
      <x:c r="J52" s="13" t="str">
        <x:v>未开始</x:v>
      </x:c>
      <x:c r="K52" s="13" t="str"/>
      <x:c r="L52" s="13" t="str"/>
    </x:row>
    <x:row r="53" ht="60" customHeight="1">
      <x:c r="A53" s="13" t="n">
        <x:v>52</x:v>
      </x:c>
      <x:c r="B53" s="13" t="str">
        <x:v>编码与导出</x:v>
      </x:c>
      <x:c r="C53" s="13" t="str">
        <x:v>元数据</x:v>
      </x:c>
      <x:c r="D53" s="13" t="str">
        <x:v>支持元数据清理、版权/来源字段记录</x:v>
      </x:c>
      <x:c r="E53" s="13" t="str">
        <x:v>保护隐私并保留合规追溯</x:v>
      </x:c>
      <x:c r="F53" s="13" t="str">
        <x:v>清理设备定位信息；保留项目 ID/授权记录</x:v>
      </x:c>
      <x:c r="G53" s="13" t="str">
        <x:v>不要删除必要的版权、广告或授权说明</x:v>
      </x:c>
      <x:c r="H53" s="13" t="str">
        <x:v>高</x:v>
      </x:c>
      <x:c r="I53" s="13" t="str">
        <x:v>待评估</x:v>
      </x:c>
      <x:c r="J53" s="13" t="str">
        <x:v>未开始</x:v>
      </x:c>
      <x:c r="K53" s="13" t="str"/>
      <x:c r="L53" s="13" t="str"/>
    </x:row>
    <x:row r="54" ht="60" customHeight="1">
      <x:c r="A54" s="13" t="n">
        <x:v>53</x:v>
      </x:c>
      <x:c r="B54" s="13" t="str">
        <x:v>编码与导出</x:v>
      </x:c>
      <x:c r="C54" s="13" t="str">
        <x:v>容器格式</x:v>
      </x:c>
      <x:c r="D54" s="13" t="str">
        <x:v>支持 MP4/MOV/WebM、音频 AAC/Opus</x:v>
      </x:c>
      <x:c r="E54" s="13" t="str">
        <x:v>满足不同平台和团队流程</x:v>
      </x:c>
      <x:c r="F54" s="13" t="str">
        <x:v>MP4+H.264+AAC 作为默认兼容方案</x:v>
      </x:c>
      <x:c r="G54" s="13" t="str">
        <x:v>格式不兼容会上传失败或转码异常</x:v>
      </x:c>
      <x:c r="H54" s="13" t="str">
        <x:v>中</x:v>
      </x:c>
      <x:c r="I54" s="13" t="str">
        <x:v>待评估</x:v>
      </x:c>
      <x:c r="J54" s="13" t="str">
        <x:v>未开始</x:v>
      </x:c>
      <x:c r="K54" s="13" t="str"/>
      <x:c r="L54" s="13" t="str"/>
    </x:row>
    <x:row r="55" ht="60" customHeight="1">
      <x:c r="A55" s="13" t="n">
        <x:v>54</x:v>
      </x:c>
      <x:c r="B55" s="13" t="str">
        <x:v>编码与导出</x:v>
      </x:c>
      <x:c r="C55" s="13" t="str">
        <x:v>批量命名</x:v>
      </x:c>
      <x:c r="D55" s="13" t="str">
        <x:v>自动命名、版本号、参数摘要、时间戳</x:v>
      </x:c>
      <x:c r="E55" s="13" t="str">
        <x:v>便于回溯和素材管理</x:v>
      </x:c>
      <x:c r="F55" s="13" t="str">
        <x:v>账号_栏目_日期_版本_参数集</x:v>
      </x:c>
      <x:c r="G55" s="13" t="str">
        <x:v>命名包含敏感客户信息需脱敏</x:v>
      </x:c>
      <x:c r="H55" s="13" t="str">
        <x:v>中</x:v>
      </x:c>
      <x:c r="I55" s="13" t="str">
        <x:v>待评估</x:v>
      </x:c>
      <x:c r="J55" s="13" t="str">
        <x:v>未开始</x:v>
      </x:c>
      <x:c r="K55" s="13" t="str"/>
      <x:c r="L55" s="13" t="str"/>
    </x:row>
    <x:row r="56" ht="60" customHeight="1">
      <x:c r="A56" s="13" t="n">
        <x:v>55</x:v>
      </x:c>
      <x:c r="B56" s="13" t="str">
        <x:v>AI/自动化能力</x:v>
      </x:c>
      <x:c r="C56" s="13" t="str">
        <x:v>场景识别</x:v>
      </x:c>
      <x:c r="D56" s="13" t="str">
        <x:v>镜头切分、主体识别、动作/情绪标签</x:v>
      </x:c>
      <x:c r="E56" s="13" t="str">
        <x:v>自动匹配模板和特效</x:v>
      </x:c>
      <x:c r="F56" s="13" t="str">
        <x:v>输出可编辑标签；低置信度需人工确认</x:v>
      </x:c>
      <x:c r="G56" s="13" t="str">
        <x:v>AI 识别错误可能导致错剪或遮挡主体</x:v>
      </x:c>
      <x:c r="H56" s="13" t="str">
        <x:v>高</x:v>
      </x:c>
      <x:c r="I56" s="13" t="str">
        <x:v>待评估</x:v>
      </x:c>
      <x:c r="J56" s="13" t="str">
        <x:v>未开始</x:v>
      </x:c>
      <x:c r="K56" s="13" t="str"/>
      <x:c r="L56" s="13" t="str"/>
    </x:row>
    <x:row r="57" ht="60" customHeight="1">
      <x:c r="A57" s="13" t="n">
        <x:v>56</x:v>
      </x:c>
      <x:c r="B57" s="13" t="str">
        <x:v>AI/自动化能力</x:v>
      </x:c>
      <x:c r="C57" s="13" t="str">
        <x:v>语音识别</x:v>
      </x:c>
      <x:c r="D57" s="13" t="str">
        <x:v>ASR 转写、关键词、时间戳、说话人识别</x:v>
      </x:c>
      <x:c r="E57" s="13" t="str">
        <x:v>驱动字幕、章节和内容检索</x:v>
      </x:c>
      <x:c r="F57" s="13" t="str">
        <x:v>行业词库和品牌词维护；人工抽检</x:v>
      </x:c>
      <x:c r="G57" s="13" t="str">
        <x:v>同音词、方言、多人对话错误率较高</x:v>
      </x:c>
      <x:c r="H57" s="13" t="str">
        <x:v>高</x:v>
      </x:c>
      <x:c r="I57" s="13" t="str">
        <x:v>待评估</x:v>
      </x:c>
      <x:c r="J57" s="13" t="str">
        <x:v>未开始</x:v>
      </x:c>
      <x:c r="K57" s="13" t="str"/>
      <x:c r="L57" s="13" t="str"/>
    </x:row>
    <x:row r="58" ht="60" customHeight="1">
      <x:c r="A58" s="13" t="n">
        <x:v>57</x:v>
      </x:c>
      <x:c r="B58" s="13" t="str">
        <x:v>AI/自动化能力</x:v>
      </x:c>
      <x:c r="C58" s="13" t="str">
        <x:v>智能重构图</x:v>
      </x:c>
      <x:c r="D58" s="13" t="str">
        <x:v>主体跟踪、竖屏裁切、自动安全区避让</x:v>
      </x:c>
      <x:c r="E58" s="13" t="str">
        <x:v>提升多平台适配效率</x:v>
      </x:c>
      <x:c r="F58" s="13" t="str">
        <x:v>支持手动关键帧修正；输出预览热区</x:v>
      </x:c>
      <x:c r="G58" s="13" t="str">
        <x:v>主体识别错会裁掉重要信息</x:v>
      </x:c>
      <x:c r="H58" s="13" t="str">
        <x:v>高</x:v>
      </x:c>
      <x:c r="I58" s="13" t="str">
        <x:v>待评估</x:v>
      </x:c>
      <x:c r="J58" s="13" t="str">
        <x:v>未开始</x:v>
      </x:c>
      <x:c r="K58" s="13" t="str"/>
      <x:c r="L58" s="13" t="str"/>
    </x:row>
    <x:row r="59" ht="60" customHeight="1">
      <x:c r="A59" s="13" t="n">
        <x:v>58</x:v>
      </x:c>
      <x:c r="B59" s="13" t="str">
        <x:v>AI/自动化能力</x:v>
      </x:c>
      <x:c r="C59" s="13" t="str">
        <x:v>抠像/遮罩</x:v>
      </x:c>
      <x:c r="D59" s="13" t="str">
        <x:v>人物/商品/天空/背景分割与替换</x:v>
      </x:c>
      <x:c r="E59" s="13" t="str">
        <x:v>封面、贴纸、背景优化</x:v>
      </x:c>
      <x:c r="F59" s="13" t="str">
        <x:v>边缘羽化 1-3px；复杂毛发人工复核</x:v>
      </x:c>
      <x:c r="G59" s="13" t="str">
        <x:v>抠像边缘穿帮会显廉价</x:v>
      </x:c>
      <x:c r="H59" s="13" t="str">
        <x:v>中</x:v>
      </x:c>
      <x:c r="I59" s="13" t="str">
        <x:v>待评估</x:v>
      </x:c>
      <x:c r="J59" s="13" t="str">
        <x:v>未开始</x:v>
      </x:c>
      <x:c r="K59" s="13" t="str"/>
      <x:c r="L59" s="13" t="str"/>
    </x:row>
    <x:row r="60" ht="60" customHeight="1">
      <x:c r="A60" s="13" t="n">
        <x:v>59</x:v>
      </x:c>
      <x:c r="B60" s="13" t="str">
        <x:v>AI/自动化能力</x:v>
      </x:c>
      <x:c r="C60" s="13" t="str">
        <x:v>超分/修复</x:v>
      </x:c>
      <x:c r="D60" s="13" t="str">
        <x:v>AI 超分、去模糊、老素材修复</x:v>
      </x:c>
      <x:c r="E60" s="13" t="str">
        <x:v>提升低清素材可用性</x:v>
      </x:c>
      <x:c r="F60" s="13" t="str">
        <x:v>仅用于授权低清素材；保留原始备份</x:v>
      </x:c>
      <x:c r="G60" s="13" t="str">
        <x:v>AI 可能生成不存在的细节，事实类内容慎用</x:v>
      </x:c>
      <x:c r="H60" s="13" t="str">
        <x:v>中</x:v>
      </x:c>
      <x:c r="I60" s="13" t="str">
        <x:v>待评估</x:v>
      </x:c>
      <x:c r="J60" s="13" t="str">
        <x:v>未开始</x:v>
      </x:c>
      <x:c r="K60" s="13" t="str"/>
      <x:c r="L60" s="13" t="str"/>
    </x:row>
    <x:row r="61" ht="60" customHeight="1">
      <x:c r="A61" s="13" t="n">
        <x:v>60</x:v>
      </x:c>
      <x:c r="B61" s="13" t="str">
        <x:v>AI/自动化能力</x:v>
      </x:c>
      <x:c r="C61" s="13" t="str">
        <x:v>脚本改写</x:v>
      </x:c>
      <x:c r="D61" s="13" t="str">
        <x:v>基于授权素材生成摘要、口播稿、标题和标签</x:v>
      </x:c>
      <x:c r="E61" s="13" t="str">
        <x:v>把已有信息转为更适合短视频表达</x:v>
      </x:c>
      <x:c r="F61" s="13" t="str">
        <x:v>保留事实核查；标记生成来源</x:v>
      </x:c>
      <x:c r="G61" s="13" t="str">
        <x:v>不得改写成虚假事实、侵权洗稿或误导表达</x:v>
      </x:c>
      <x:c r="H61" s="13" t="str">
        <x:v>高</x:v>
      </x:c>
      <x:c r="I61" s="13" t="str">
        <x:v>待评估</x:v>
      </x:c>
      <x:c r="J61" s="13" t="str">
        <x:v>未开始</x:v>
      </x:c>
      <x:c r="K61" s="13" t="str"/>
      <x:c r="L61" s="13" t="str"/>
    </x:row>
    <x:row r="62" ht="60" customHeight="1">
      <x:c r="A62" s="13" t="n">
        <x:v>61</x:v>
      </x:c>
      <x:c r="B62" s="13" t="str">
        <x:v>AI/自动化能力</x:v>
      </x:c>
      <x:c r="C62" s="13" t="str">
        <x:v>模板随机化</x:v>
      </x:c>
      <x:c r="D62" s="13" t="str">
        <x:v>参数池、模板组合、账号风格包</x:v>
      </x:c>
      <x:c r="E62" s="13" t="str">
        <x:v>减少重复劳动，保持系列化差异</x:v>
      </x:c>
      <x:c r="F62" s="13" t="str">
        <x:v>随机范围受白名单限制；每版留参数日志</x:v>
      </x:c>
      <x:c r="G62" s="13" t="str">
        <x:v>随机化不应替代原创加工和合规审查</x:v>
      </x:c>
      <x:c r="H62" s="13" t="str">
        <x:v>中</x:v>
      </x:c>
      <x:c r="I62" s="13" t="str">
        <x:v>待评估</x:v>
      </x:c>
      <x:c r="J62" s="13" t="str">
        <x:v>未开始</x:v>
      </x:c>
      <x:c r="K62" s="13" t="str"/>
      <x:c r="L62" s="13" t="str"/>
    </x:row>
    <x:row r="63" ht="60" customHeight="1">
      <x:c r="A63" s="13" t="n">
        <x:v>62</x:v>
      </x:c>
      <x:c r="B63" s="13" t="str">
        <x:v>AI/自动化能力</x:v>
      </x:c>
      <x:c r="C63" s="13" t="str">
        <x:v>批处理队列</x:v>
      </x:c>
      <x:c r="D63" s="13" t="str">
        <x:v>任务队列、失败重试、资源调度、断点续跑</x:v>
      </x:c>
      <x:c r="E63" s="13" t="str">
        <x:v>提升批量处理效率</x:v>
      </x:c>
      <x:c r="F63" s="13" t="str">
        <x:v>GPU/CPU 配额；失败原因分类</x:v>
      </x:c>
      <x:c r="G63" s="13" t="str">
        <x:v>批量出错会放大问题，需抽检机制</x:v>
      </x:c>
      <x:c r="H63" s="13" t="str">
        <x:v>高</x:v>
      </x:c>
      <x:c r="I63" s="13" t="str">
        <x:v>待评估</x:v>
      </x:c>
      <x:c r="J63" s="13" t="str">
        <x:v>未开始</x:v>
      </x:c>
      <x:c r="K63" s="13" t="str"/>
      <x:c r="L63" s="13" t="str"/>
    </x:row>
    <x:row r="64" ht="60" customHeight="1">
      <x:c r="A64" s="13" t="n">
        <x:v>63</x:v>
      </x:c>
      <x:c r="B64" s="13" t="str">
        <x:v>AI/自动化能力</x:v>
      </x:c>
      <x:c r="C64" s="13" t="str">
        <x:v>版本对比</x:v>
      </x:c>
      <x:c r="D64" s="13" t="str">
        <x:v>原版/新版分屏预览、差异报告、参数复现</x:v>
      </x:c>
      <x:c r="E64" s="13" t="str">
        <x:v>方便审核与返工</x:v>
      </x:c>
      <x:c r="F64" s="13" t="str">
        <x:v>保留每版渲染参数和审核结果</x:v>
      </x:c>
      <x:c r="G64" s="13" t="str">
        <x:v>没有记录会难以定位质量问题</x:v>
      </x:c>
      <x:c r="H64" s="13" t="str">
        <x:v>高</x:v>
      </x:c>
      <x:c r="I64" s="13" t="str">
        <x:v>待评估</x:v>
      </x:c>
      <x:c r="J64" s="13" t="str">
        <x:v>未开始</x:v>
      </x:c>
      <x:c r="K64" s="13" t="str"/>
      <x:c r="L64" s="13" t="str"/>
    </x:row>
    <x:row r="65" ht="60" customHeight="1">
      <x:c r="A65" s="13" t="n">
        <x:v>64</x:v>
      </x:c>
      <x:c r="B65" s="13" t="str">
        <x:v>素材与项目管理</x:v>
      </x:c>
      <x:c r="C65" s="13" t="str">
        <x:v>素材入库</x:v>
      </x:c>
      <x:c r="D65" s="13" t="str">
        <x:v>上传、转码代理、标签、来源、授权状态记录</x:v>
      </x:c>
      <x:c r="E65" s="13" t="str">
        <x:v>统一管理素材生命周期</x:v>
      </x:c>
      <x:c r="F65" s="13" t="str">
        <x:v>必填来源、授权类型、到期日、适用平台</x:v>
      </x:c>
      <x:c r="G65" s="13" t="str">
        <x:v>授权不清素材不得进入生产流程</x:v>
      </x:c>
      <x:c r="H65" s="13" t="str">
        <x:v>高</x:v>
      </x:c>
      <x:c r="I65" s="13" t="str">
        <x:v>待评估</x:v>
      </x:c>
      <x:c r="J65" s="13" t="str">
        <x:v>未开始</x:v>
      </x:c>
      <x:c r="K65" s="13" t="str"/>
      <x:c r="L65" s="13" t="str"/>
    </x:row>
    <x:row r="66" ht="60" customHeight="1">
      <x:c r="A66" s="13" t="n">
        <x:v>65</x:v>
      </x:c>
      <x:c r="B66" s="13" t="str">
        <x:v>素材与项目管理</x:v>
      </x:c>
      <x:c r="C66" s="13" t="str">
        <x:v>去重/指纹</x:v>
      </x:c>
      <x:c r="D66" s="13" t="str">
        <x:v>本地素材哈希、音频指纹、视觉相似度查重</x:v>
      </x:c>
      <x:c r="E66" s="13" t="str">
        <x:v>避免团队内部重复处理和重复发布</x:v>
      </x:c>
      <x:c r="F66" s="13" t="str">
        <x:v>用于内部库管理；相似度阈值可调</x:v>
      </x:c>
      <x:c r="G66" s="13" t="str">
        <x:v>不要把查重能力用于规避平台检测</x:v>
      </x:c>
      <x:c r="H66" s="13" t="str">
        <x:v>高</x:v>
      </x:c>
      <x:c r="I66" s="13" t="str">
        <x:v>待评估</x:v>
      </x:c>
      <x:c r="J66" s="13" t="str">
        <x:v>未开始</x:v>
      </x:c>
      <x:c r="K66" s="13" t="str"/>
      <x:c r="L66" s="13" t="str"/>
    </x:row>
    <x:row r="67" ht="60" customHeight="1">
      <x:c r="A67" s="13" t="n">
        <x:v>66</x:v>
      </x:c>
      <x:c r="B67" s="13" t="str">
        <x:v>素材与项目管理</x:v>
      </x:c>
      <x:c r="C67" s="13" t="str">
        <x:v>预设管理</x:v>
      </x:c>
      <x:c r="D67" s="13" t="str">
        <x:v>画面、音频、字幕、导出预设分组</x:v>
      </x:c>
      <x:c r="E67" s="13" t="str">
        <x:v>提高一致性和复用效率</x:v>
      </x:c>
      <x:c r="F67" s="13" t="str">
        <x:v>按平台/账号/栏目/客户分类</x:v>
      </x:c>
      <x:c r="G67" s="13" t="str">
        <x:v>预设过多会难维护，需要命名规范</x:v>
      </x:c>
      <x:c r="H67" s="13" t="str">
        <x:v>中</x:v>
      </x:c>
      <x:c r="I67" s="13" t="str">
        <x:v>待评估</x:v>
      </x:c>
      <x:c r="J67" s="13" t="str">
        <x:v>未开始</x:v>
      </x:c>
      <x:c r="K67" s="13" t="str"/>
      <x:c r="L67" s="13" t="str"/>
    </x:row>
    <x:row r="68" ht="60" customHeight="1">
      <x:c r="A68" s="13" t="n">
        <x:v>67</x:v>
      </x:c>
      <x:c r="B68" s="13" t="str">
        <x:v>素材与项目管理</x:v>
      </x:c>
      <x:c r="C68" s="13" t="str">
        <x:v>审核流</x:v>
      </x:c>
      <x:c r="D68" s="13" t="str">
        <x:v>初剪、自检、合规、终审、发布确认状态</x:v>
      </x:c>
      <x:c r="E68" s="13" t="str">
        <x:v>降低批量生产错误</x:v>
      </x:c>
      <x:c r="F68" s="13" t="str">
        <x:v>每个状态记录负责人和时间</x:v>
      </x:c>
      <x:c r="G68" s="13" t="str">
        <x:v>跳过终审容易发布错误版本</x:v>
      </x:c>
      <x:c r="H68" s="13" t="str">
        <x:v>高</x:v>
      </x:c>
      <x:c r="I68" s="13" t="str">
        <x:v>待评估</x:v>
      </x:c>
      <x:c r="J68" s="13" t="str">
        <x:v>未开始</x:v>
      </x:c>
      <x:c r="K68" s="13" t="str"/>
      <x:c r="L68" s="13" t="str"/>
    </x:row>
    <x:row r="69" ht="60" customHeight="1">
      <x:c r="A69" s="13" t="n">
        <x:v>68</x:v>
      </x:c>
      <x:c r="B69" s="13" t="str">
        <x:v>素材与项目管理</x:v>
      </x:c>
      <x:c r="C69" s="13" t="str">
        <x:v>权限管理</x:v>
      </x:c>
      <x:c r="D69" s="13" t="str">
        <x:v>项目、素材、模板、导出权限分级</x:v>
      </x:c>
      <x:c r="E69" s="13" t="str">
        <x:v>保护客户素材和账号资产</x:v>
      </x:c>
      <x:c r="F69" s="13" t="str">
        <x:v>角色：管理员/剪辑/审核/只读</x:v>
      </x:c>
      <x:c r="G69" s="13" t="str">
        <x:v>权限过宽会造成泄露或误删</x:v>
      </x:c>
      <x:c r="H69" s="13" t="str">
        <x:v>高</x:v>
      </x:c>
      <x:c r="I69" s="13" t="str">
        <x:v>待评估</x:v>
      </x:c>
      <x:c r="J69" s="13" t="str">
        <x:v>未开始</x:v>
      </x:c>
      <x:c r="K69" s="13" t="str"/>
      <x:c r="L69" s="13" t="str"/>
    </x:row>
    <x:row r="70" ht="60" customHeight="1">
      <x:c r="A70" s="13" t="n">
        <x:v>69</x:v>
      </x:c>
      <x:c r="B70" s="13" t="str">
        <x:v>素材与项目管理</x:v>
      </x:c>
      <x:c r="C70" s="13" t="str">
        <x:v>参数日志</x:v>
      </x:c>
      <x:c r="D70" s="13" t="str">
        <x:v>记录每次处理参数、软件版本、操作者</x:v>
      </x:c>
      <x:c r="E70" s="13" t="str">
        <x:v>可复现、可审计、可回滚</x:v>
      </x:c>
      <x:c r="F70" s="13" t="str">
        <x:v>日志绑定输出文件名和项目 ID</x:v>
      </x:c>
      <x:c r="G70" s="13" t="str">
        <x:v>没有日志会导致问题无法追踪</x:v>
      </x:c>
      <x:c r="H70" s="13" t="str">
        <x:v>高</x:v>
      </x:c>
      <x:c r="I70" s="13" t="str">
        <x:v>待评估</x:v>
      </x:c>
      <x:c r="J70" s="13" t="str">
        <x:v>未开始</x:v>
      </x:c>
      <x:c r="K70" s="13" t="str"/>
      <x:c r="L70" s="13" t="str"/>
    </x:row>
    <x:row r="71" ht="60" customHeight="1">
      <x:c r="A71" s="13" t="n">
        <x:v>70</x:v>
      </x:c>
      <x:c r="B71" s="13" t="str">
        <x:v>素材与项目管理</x:v>
      </x:c>
      <x:c r="C71" s="13" t="str">
        <x:v>回滚/备份</x:v>
      </x:c>
      <x:c r="D71" s="13" t="str">
        <x:v>保留源文件、工程文件、代理文件和成片版本</x:v>
      </x:c>
      <x:c r="E71" s="13" t="str">
        <x:v>避免误操作和素材丢失</x:v>
      </x:c>
      <x:c r="F71" s="13" t="str">
        <x:v>源文件只读；关键节点自动备份</x:v>
      </x:c>
      <x:c r="G71" s="13" t="str">
        <x:v>备份占用空间，需要清理策略</x:v>
      </x:c>
      <x:c r="H71" s="13" t="str">
        <x:v>高</x:v>
      </x:c>
      <x:c r="I71" s="13" t="str">
        <x:v>待评估</x:v>
      </x:c>
      <x:c r="J71" s="13" t="str">
        <x:v>未开始</x:v>
      </x:c>
      <x:c r="K71" s="13" t="str"/>
      <x:c r="L71" s="13" t="str"/>
    </x:row>
    <x:row r="72" ht="60" customHeight="1">
      <x:c r="A72" s="13" t="n">
        <x:v>71</x:v>
      </x:c>
      <x:c r="B72" s="13" t="str">
        <x:v>素材与项目管理</x:v>
      </x:c>
      <x:c r="C72" s="13" t="str">
        <x:v>协作批注</x:v>
      </x:c>
      <x:c r="D72" s="13" t="str">
        <x:v>帧级评论、标注、返修清单</x:v>
      </x:c>
      <x:c r="E72" s="13" t="str">
        <x:v>提高团队沟通效率</x:v>
      </x:c>
      <x:c r="F72" s="13" t="str">
        <x:v>评论带时间码；支持已解决状态</x:v>
      </x:c>
      <x:c r="G72" s="13" t="str">
        <x:v>口头反馈容易遗漏，建议流程化</x:v>
      </x:c>
      <x:c r="H72" s="13" t="str">
        <x:v>中</x:v>
      </x:c>
      <x:c r="I72" s="13" t="str">
        <x:v>待评估</x:v>
      </x:c>
      <x:c r="J72" s="13" t="str">
        <x:v>未开始</x:v>
      </x:c>
      <x:c r="K72" s="13" t="str"/>
      <x:c r="L72" s="13" t="str"/>
    </x:row>
    <x:row r="73" ht="60" customHeight="1">
      <x:c r="A73" s="13" t="n">
        <x:v>72</x:v>
      </x:c>
      <x:c r="B73" s="13" t="str">
        <x:v>质检与合规</x:v>
      </x:c>
      <x:c r="C73" s="13" t="str">
        <x:v>版权授权</x:v>
      </x:c>
      <x:c r="D73" s="13" t="str">
        <x:v>检查视频、图片、音乐、字体、音效授权</x:v>
      </x:c>
      <x:c r="E73" s="13" t="str">
        <x:v>确保素材可合法使用和发布</x:v>
      </x:c>
      <x:c r="F73" s="13" t="str">
        <x:v>入库时强制记录授权证明和使用范围</x:v>
      </x:c>
      <x:c r="G73" s="13" t="str">
        <x:v>无授权内容不得发布或商业化</x:v>
      </x:c>
      <x:c r="H73" s="13" t="str">
        <x:v>高</x:v>
      </x:c>
      <x:c r="I73" s="13" t="str">
        <x:v>待评估</x:v>
      </x:c>
      <x:c r="J73" s="13" t="str">
        <x:v>未开始</x:v>
      </x:c>
      <x:c r="K73" s="13" t="str"/>
      <x:c r="L73" s="13" t="str"/>
    </x:row>
    <x:row r="74" ht="60" customHeight="1">
      <x:c r="A74" s="13" t="n">
        <x:v>73</x:v>
      </x:c>
      <x:c r="B74" s="13" t="str">
        <x:v>质检与合规</x:v>
      </x:c>
      <x:c r="C74" s="13" t="str">
        <x:v>平台规则</x:v>
      </x:c>
      <x:c r="D74" s="13" t="str">
        <x:v>按平台检查尺寸、码率、敏感词、广告规范</x:v>
      </x:c>
      <x:c r="E74" s="13" t="str">
        <x:v>减少上传失败和违规风险</x:v>
      </x:c>
      <x:c r="F74" s="13" t="str">
        <x:v>定期更新平台规则模板</x:v>
      </x:c>
      <x:c r="G74" s="13" t="str">
        <x:v>平台规则会变化，需维护最新版本</x:v>
      </x:c>
      <x:c r="H74" s="13" t="str">
        <x:v>高</x:v>
      </x:c>
      <x:c r="I74" s="13" t="str">
        <x:v>待评估</x:v>
      </x:c>
      <x:c r="J74" s="13" t="str">
        <x:v>未开始</x:v>
      </x:c>
      <x:c r="K74" s="13" t="str"/>
      <x:c r="L74" s="13" t="str"/>
    </x:row>
    <x:row r="75" ht="60" customHeight="1">
      <x:c r="A75" s="13" t="n">
        <x:v>74</x:v>
      </x:c>
      <x:c r="B75" s="13" t="str">
        <x:v>质检与合规</x:v>
      </x:c>
      <x:c r="C75" s="13" t="str">
        <x:v>事实核查</x:v>
      </x:c>
      <x:c r="D75" s="13" t="str">
        <x:v>价格、功效、日期、人物身份、数据来源复核</x:v>
      </x:c>
      <x:c r="E75" s="13" t="str">
        <x:v>避免误导或虚假信息</x:v>
      </x:c>
      <x:c r="F75" s="13" t="str">
        <x:v>高风险行业双人复核</x:v>
      </x:c>
      <x:c r="G75" s="13" t="str">
        <x:v>医疗、金融、法律等内容需更严格审查</x:v>
      </x:c>
      <x:c r="H75" s="13" t="str">
        <x:v>高</x:v>
      </x:c>
      <x:c r="I75" s="13" t="str">
        <x:v>待评估</x:v>
      </x:c>
      <x:c r="J75" s="13" t="str">
        <x:v>未开始</x:v>
      </x:c>
      <x:c r="K75" s="13" t="str"/>
      <x:c r="L75" s="13" t="str"/>
    </x:row>
    <x:row r="76" ht="60" customHeight="1">
      <x:c r="A76" s="13" t="n">
        <x:v>75</x:v>
      </x:c>
      <x:c r="B76" s="13" t="str">
        <x:v>质检与合规</x:v>
      </x:c>
      <x:c r="C76" s="13" t="str">
        <x:v>字幕校对</x:v>
      </x:c>
      <x:c r="D76" s="13" t="str">
        <x:v>错别字、断句、时间轴、遮挡、术语一致性</x:v>
      </x:c>
      <x:c r="E76" s="13" t="str">
        <x:v>保障可读性和专业度</x:v>
      </x:c>
      <x:c r="F76" s="13" t="str">
        <x:v>抽检+关键词强制复核</x:v>
      </x:c>
      <x:c r="G76" s="13" t="str">
        <x:v>字幕错误会直接损害可信度</x:v>
      </x:c>
      <x:c r="H76" s="13" t="str">
        <x:v>高</x:v>
      </x:c>
      <x:c r="I76" s="13" t="str">
        <x:v>待评估</x:v>
      </x:c>
      <x:c r="J76" s="13" t="str">
        <x:v>未开始</x:v>
      </x:c>
      <x:c r="K76" s="13" t="str"/>
      <x:c r="L76" s="13" t="str"/>
    </x:row>
    <x:row r="77" ht="60" customHeight="1">
      <x:c r="A77" s="13" t="n">
        <x:v>76</x:v>
      </x:c>
      <x:c r="B77" s="13" t="str">
        <x:v>质检与合规</x:v>
      </x:c>
      <x:c r="C77" s="13" t="str">
        <x:v>音频峰值</x:v>
      </x:c>
      <x:c r="D77" s="13" t="str">
        <x:v>爆音、静音、左右声道、BGM 压人声检查</x:v>
      </x:c>
      <x:c r="E77" s="13" t="str">
        <x:v>保证基础观看体验</x:v>
      </x:c>
      <x:c r="F77" s="13" t="str">
        <x:v>自动检测 + 人工听 10-20 秒重点段</x:v>
      </x:c>
      <x:c r="G77" s="13" t="str">
        <x:v>仅看波形不够，必须听感复核</x:v>
      </x:c>
      <x:c r="H77" s="13" t="str">
        <x:v>高</x:v>
      </x:c>
      <x:c r="I77" s="13" t="str">
        <x:v>待评估</x:v>
      </x:c>
      <x:c r="J77" s="13" t="str">
        <x:v>未开始</x:v>
      </x:c>
      <x:c r="K77" s="13" t="str"/>
      <x:c r="L77" s="13" t="str"/>
    </x:row>
    <x:row r="78" ht="60" customHeight="1">
      <x:c r="A78" s="13" t="n">
        <x:v>77</x:v>
      </x:c>
      <x:c r="B78" s="13" t="str">
        <x:v>质检与合规</x:v>
      </x:c>
      <x:c r="C78" s="13" t="str">
        <x:v>画面安全区</x:v>
      </x:c>
      <x:c r="D78" s="13" t="str">
        <x:v>字幕/贴纸/Logo/商品不被平台 UI 遮挡</x:v>
      </x:c>
      <x:c r="E78" s="13" t="str">
        <x:v>适配发布端观看界面</x:v>
      </x:c>
      <x:c r="F78" s="13" t="str">
        <x:v>提供 TikTok/抖音/快手/小红书等安全区模板</x:v>
      </x:c>
      <x:c r="G78" s="13" t="str">
        <x:v>平台 UI 改版会影响模板</x:v>
      </x:c>
      <x:c r="H78" s="13" t="str">
        <x:v>高</x:v>
      </x:c>
      <x:c r="I78" s="13" t="str">
        <x:v>待评估</x:v>
      </x:c>
      <x:c r="J78" s="13" t="str">
        <x:v>未开始</x:v>
      </x:c>
      <x:c r="K78" s="13" t="str"/>
      <x:c r="L78" s="13" t="str"/>
    </x:row>
    <x:row r="79" ht="60" customHeight="1">
      <x:c r="A79" s="13" t="n">
        <x:v>78</x:v>
      </x:c>
      <x:c r="B79" s="13" t="str">
        <x:v>质检与合规</x:v>
      </x:c>
      <x:c r="C79" s="13" t="str">
        <x:v>水印与来源</x:v>
      </x:c>
      <x:c r="D79" s="13" t="str">
        <x:v>自有标识清晰，第三方标识/署名按授权保留</x:v>
      </x:c>
      <x:c r="E79" s="13" t="str">
        <x:v>尊重来源并避免权属争议</x:v>
      </x:c>
      <x:c r="F79" s="13" t="str">
        <x:v>保留必要署名，不遮挡他人版权信息</x:v>
      </x:c>
      <x:c r="G79" s="13" t="str">
        <x:v>移除/覆盖他人水印有侵权风险</x:v>
      </x:c>
      <x:c r="H79" s="13" t="str">
        <x:v>高</x:v>
      </x:c>
      <x:c r="I79" s="13" t="str">
        <x:v>待评估</x:v>
      </x:c>
      <x:c r="J79" s="13" t="str">
        <x:v>未开始</x:v>
      </x:c>
      <x:c r="K79" s="13" t="str"/>
      <x:c r="L79" s="13" t="str"/>
    </x:row>
    <x:row r="80" ht="60" customHeight="1">
      <x:c r="A80" s="13" t="n">
        <x:v>79</x:v>
      </x:c>
      <x:c r="B80" s="13" t="str">
        <x:v>质检与合规</x:v>
      </x:c>
      <x:c r="C80" s="13" t="str">
        <x:v>肖像/声音同意</x:v>
      </x:c>
      <x:c r="D80" s="13" t="str">
        <x:v>涉及真人、人脸、声音克隆、采访素材的同意记录</x:v>
      </x:c>
      <x:c r="E80" s="13" t="str">
        <x:v>保护隐私和人格权益</x:v>
      </x:c>
      <x:c r="F80" s="13" t="str">
        <x:v>留存书面授权或可追溯同意记录</x:v>
      </x:c>
      <x:c r="G80" s="13" t="str">
        <x:v>未经同意使用人脸/声音风险高</x:v>
      </x:c>
      <x:c r="H80" s="13" t="str">
        <x:v>高</x:v>
      </x:c>
      <x:c r="I80" s="13" t="str">
        <x:v>待评估</x:v>
      </x:c>
      <x:c r="J80" s="13" t="str">
        <x:v>未开始</x:v>
      </x:c>
      <x:c r="K80" s="13" t="str"/>
      <x:c r="L80" s="13" t="str"/>
    </x:row>
    <x:row r="81" ht="60" customHeight="1">
      <x:c r="A81" s="13" t="n">
        <x:v>80</x:v>
      </x:c>
      <x:c r="B81" s="13" t="str">
        <x:v>质检与合规</x:v>
      </x:c>
      <x:c r="C81" s="13" t="str">
        <x:v>可访问性</x:v>
      </x:c>
      <x:c r="D81" s="13" t="str">
        <x:v>字幕可读、对比度、闪烁频率、音量平衡</x:v>
      </x:c>
      <x:c r="E81" s="13" t="str">
        <x:v>让更多用户可观看</x:v>
      </x:c>
      <x:c r="F81" s="13" t="str">
        <x:v>避免高频闪烁；字幕对比度足够</x:v>
      </x:c>
      <x:c r="G81" s="13" t="str">
        <x:v>强闪烁可能造成不适</x:v>
      </x:c>
      <x:c r="H81" s="13" t="str">
        <x:v>中</x:v>
      </x:c>
      <x:c r="I81" s="13" t="str">
        <x:v>待评估</x:v>
      </x:c>
      <x:c r="J81" s="13" t="str">
        <x:v>未开始</x:v>
      </x:c>
      <x:c r="K81" s="13" t="str"/>
      <x:c r="L81" s="13" t="str"/>
    </x:row>
    <x:row r="82" ht="60" customHeight="1">
      <x:c r="A82" s="13" t="n">
        <x:v>81</x:v>
      </x:c>
      <x:c r="B82" s="13" t="str">
        <x:v>质检与合规</x:v>
      </x:c>
      <x:c r="C82" s="13" t="str">
        <x:v>最终人工复核</x:v>
      </x:c>
      <x:c r="D82" s="13" t="str">
        <x:v>发布前完整观看一遍并勾选关键项</x:v>
      </x:c>
      <x:c r="E82" s="13" t="str">
        <x:v>发现自动流程遗漏的问题</x:v>
      </x:c>
      <x:c r="F82" s="13" t="str">
        <x:v>建立发布前 10 项强制检查</x:v>
      </x:c>
      <x:c r="G82" s="13" t="str">
        <x:v>完全依赖自动化容易漏掉语义和合规问题</x:v>
      </x:c>
      <x:c r="H82" s="13" t="str">
        <x:v>高</x:v>
      </x:c>
      <x:c r="I82" s="13" t="str">
        <x:v>待评估</x:v>
      </x:c>
      <x:c r="J82" s="13" t="str">
        <x:v>未开始</x:v>
      </x:c>
      <x:c r="K82" s="13" t="str"/>
      <x:c r="L82" s="13" t="str"/>
    </x:row>
    <x:row r="83" ht="60" customHeight="1">
      <x:c r="A83" s="13" t="n">
        <x:v>82</x:v>
      </x:c>
      <x:c r="B83" s="13" t="str">
        <x:v>产品与工程模块</x:v>
      </x:c>
      <x:c r="C83" s="13" t="str">
        <x:v>参数配置中心</x:v>
      </x:c>
      <x:c r="D83" s="13" t="str">
        <x:v>统一管理参数范围、默认值、白名单和黑名单</x:v>
      </x:c>
      <x:c r="E83" s="13" t="str">
        <x:v>让处理可控、可复现、可审计</x:v>
      </x:c>
      <x:c r="F83" s="13" t="str">
        <x:v>区分全局、账号、项目、任务级配置</x:v>
      </x:c>
      <x:c r="G83" s="13" t="str">
        <x:v>参数失控会导致批量质量事故</x:v>
      </x:c>
      <x:c r="H83" s="13" t="str">
        <x:v>高</x:v>
      </x:c>
      <x:c r="I83" s="13" t="str">
        <x:v>待评估</x:v>
      </x:c>
      <x:c r="J83" s="13" t="str">
        <x:v>未开始</x:v>
      </x:c>
      <x:c r="K83" s="13" t="str"/>
      <x:c r="L83" s="13" t="str"/>
    </x:row>
    <x:row r="84" ht="60" customHeight="1">
      <x:c r="A84" s="13" t="n">
        <x:v>83</x:v>
      </x:c>
      <x:c r="B84" s="13" t="str">
        <x:v>产品与工程模块</x:v>
      </x:c>
      <x:c r="C84" s="13" t="str">
        <x:v>预览播放器</x:v>
      </x:c>
      <x:c r="D84" s="13" t="str">
        <x:v>支持原片/成片对比、帧级跳转、音频波形</x:v>
      </x:c>
      <x:c r="E84" s="13" t="str">
        <x:v>提升审核效率</x:v>
      </x:c>
      <x:c r="F84" s="13" t="str">
        <x:v>支持 1x/2x/逐帧；显示安全区和字幕层</x:v>
      </x:c>
      <x:c r="G84" s="13" t="str">
        <x:v>预览与最终导出不一致会误导审核</x:v>
      </x:c>
      <x:c r="H84" s="13" t="str">
        <x:v>高</x:v>
      </x:c>
      <x:c r="I84" s="13" t="str">
        <x:v>待评估</x:v>
      </x:c>
      <x:c r="J84" s="13" t="str">
        <x:v>未开始</x:v>
      </x:c>
      <x:c r="K84" s="13" t="str"/>
      <x:c r="L84" s="13" t="str"/>
    </x:row>
    <x:row r="85" ht="60" customHeight="1">
      <x:c r="A85" s="13" t="n">
        <x:v>84</x:v>
      </x:c>
      <x:c r="B85" s="13" t="str">
        <x:v>产品与工程模块</x:v>
      </x:c>
      <x:c r="C85" s="13" t="str">
        <x:v>任务编排</x:v>
      </x:c>
      <x:c r="D85" s="13" t="str">
        <x:v>流水线节点：导入、分析、处理、质检、导出</x:v>
      </x:c>
      <x:c r="E85" s="13" t="str">
        <x:v>让批处理稳定运行</x:v>
      </x:c>
      <x:c r="F85" s="13" t="str">
        <x:v>节点失败可重试；支持优先级队列</x:v>
      </x:c>
      <x:c r="G85" s="13" t="str">
        <x:v>缺少依赖检查会造成半成品输出</x:v>
      </x:c>
      <x:c r="H85" s="13" t="str">
        <x:v>高</x:v>
      </x:c>
      <x:c r="I85" s="13" t="str">
        <x:v>待评估</x:v>
      </x:c>
      <x:c r="J85" s="13" t="str">
        <x:v>未开始</x:v>
      </x:c>
      <x:c r="K85" s="13" t="str"/>
      <x:c r="L85" s="13" t="str"/>
    </x:row>
    <x:row r="86" ht="60" customHeight="1">
      <x:c r="A86" s="13" t="n">
        <x:v>85</x:v>
      </x:c>
      <x:c r="B86" s="13" t="str">
        <x:v>产品与工程模块</x:v>
      </x:c>
      <x:c r="C86" s="13" t="str">
        <x:v>报告导出</x:v>
      </x:c>
      <x:c r="D86" s="13" t="str">
        <x:v>输出处理参数、质量评分、合规检查结果</x:v>
      </x:c>
      <x:c r="E86" s="13" t="str">
        <x:v>便于交付、归档和复盘</x:v>
      </x:c>
      <x:c r="F86" s="13" t="str">
        <x:v>支持 CSV/XLSX/PDF；绑定视频版本</x:v>
      </x:c>
      <x:c r="G86" s="13" t="str">
        <x:v>报告不能替代真实审核</x:v>
      </x:c>
      <x:c r="H86" s="13" t="str">
        <x:v>中</x:v>
      </x:c>
      <x:c r="I86" s="13" t="str">
        <x:v>待评估</x:v>
      </x:c>
      <x:c r="J86" s="13" t="str">
        <x:v>未开始</x:v>
      </x:c>
      <x:c r="K86" s="13" t="str"/>
      <x:c r="L86" s="13" t="str"/>
    </x:row>
    <x:row r="87" ht="60" customHeight="1">
      <x:c r="A87" s="13" t="n">
        <x:v>86</x:v>
      </x:c>
      <x:c r="B87" s="13" t="str">
        <x:v>产品与工程模块</x:v>
      </x:c>
      <x:c r="C87" s="13" t="str">
        <x:v>监控告警</x:v>
      </x:c>
      <x:c r="D87" s="13" t="str">
        <x:v>处理时长、失败率、队列积压、磁盘/GPU 监控</x:v>
      </x:c>
      <x:c r="E87" s="13" t="str">
        <x:v>保障批量生产稳定性</x:v>
      </x:c>
      <x:c r="F87" s="13" t="str">
        <x:v>失败率/积压阈值触发通知</x:v>
      </x:c>
      <x:c r="G87" s="13" t="str">
        <x:v>没有告警容易错过大批量失败</x:v>
      </x:c>
      <x:c r="H87" s="13" t="str">
        <x:v>中</x:v>
      </x:c>
      <x:c r="I87" s="13" t="str">
        <x:v>待评估</x:v>
      </x:c>
      <x:c r="J87" s="13" t="str">
        <x:v>未开始</x:v>
      </x:c>
      <x:c r="K87" s="13" t="str"/>
      <x:c r="L87" s="13" t="str"/>
    </x:row>
    <x:row r="88" ht="60" customHeight="1">
      <x:c r="A88" s="13" t="n">
        <x:v>87</x:v>
      </x:c>
      <x:c r="B88" s="13" t="str">
        <x:v>产品与工程模块</x:v>
      </x:c>
      <x:c r="C88" s="13" t="str">
        <x:v>插件架构</x:v>
      </x:c>
      <x:c r="D88" s="13" t="str">
        <x:v>滤镜、音频、字幕、导出器模块化扩展</x:v>
      </x:c>
      <x:c r="E88" s="13" t="str">
        <x:v>方便持续迭代和客户定制</x:v>
      </x:c>
      <x:c r="F88" s="13" t="str">
        <x:v>定义输入输出协议和版本兼容</x:v>
      </x:c>
      <x:c r="G88" s="13" t="str">
        <x:v>插件质量参差会影响稳定性</x:v>
      </x:c>
      <x:c r="H88" s="13" t="str">
        <x:v>中</x:v>
      </x:c>
      <x:c r="I88" s="13" t="str">
        <x:v>待评估</x:v>
      </x:c>
      <x:c r="J88" s="13" t="str">
        <x:v>未开始</x:v>
      </x:c>
      <x:c r="K88" s="13" t="str"/>
      <x:c r="L88" s="13" t="str"/>
    </x:row>
  </x:sheetData>
  <x:conditionalFormatting sqref="H2:H88">
    <x:cfRule type="expression" dxfId="0" priority="1">
      <x:formula>$H2="高"</x:formula>
    </x:cfRule>
    <x:cfRule type="expression" dxfId="1" priority="2">
      <x:formula>$H2="中"</x:formula>
    </x:cfRule>
    <x:cfRule type="expression" dxfId="2" priority="3">
      <x:formula>$H2="低"</x:formula>
    </x:cfRule>
  </x:conditionalFormatting>
  <x:conditionalFormatting sqref="J2:J88">
    <x:cfRule type="expression" dxfId="3" priority="4">
      <x:formula>$J2="完成"</x:formula>
    </x:cfRule>
    <x:cfRule type="expression" dxfId="4" priority="5">
      <x:formula>$J2="进行中"</x:formula>
    </x:cfRule>
    <x:cfRule type="expression" dxfId="5" priority="6">
      <x:formula>$J2="未开始"</x:formula>
    </x:cfRule>
    <x:cfRule type="expression" dxfId="6" priority="7">
      <x:formula>$J2="不适用"</x:formula>
    </x:cfRule>
  </x:conditionalFormatting>
  <x:conditionalFormatting sqref="I2:I88">
    <x:cfRule type="expression" dxfId="7" priority="8">
      <x:formula>$I2="是"</x:formula>
    </x:cfRule>
    <x:cfRule type="expression" dxfId="8" priority="9">
      <x:formula>$I2="否"</x:formula>
    </x:cfRule>
    <x:cfRule type="expression" dxfId="9" priority="10">
      <x:formula>$I2="暂缓"</x:formula>
    </x:cfRule>
  </x:conditionalFormatting>
  <x:dataValidations count="3">
    <x:dataValidation type="list" sqref="H2:H88">
      <x:formula1>下拉选项!$B$2:$B$4</x:formula1>
    </x:dataValidation>
    <x:dataValidation type="list" sqref="I2:I88">
      <x:formula1>下拉选项!$C$2:$C$5</x:formula1>
    </x:dataValidation>
    <x:dataValidation type="list" sqref="J2:J88">
      <x:formula1>下拉选项!$A$2:$A$5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8b3b63b85540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8" t="str">
        <x:v>状态</x:v>
      </x:c>
      <x:c r="B1" s="18" t="str">
        <x:v>优先级</x:v>
      </x:c>
      <x:c r="C1" s="18" t="str">
        <x:v>采用?</x:v>
      </x:c>
      <x:c r="D1" s="18" t="str">
        <x:v>大类</x:v>
      </x:c>
    </x:row>
    <x:row r="2">
      <x:c r="A2" t="str">
        <x:v>未开始</x:v>
      </x:c>
      <x:c r="B2" t="str">
        <x:v>高</x:v>
      </x:c>
      <x:c r="C2" t="str">
        <x:v>待评估</x:v>
      </x:c>
      <x:c r="D2" t="str">
        <x:v>画面基础调整</x:v>
      </x:c>
    </x:row>
    <x:row r="3">
      <x:c r="A3" t="str">
        <x:v>进行中</x:v>
      </x:c>
      <x:c r="B3" t="str">
        <x:v>中</x:v>
      </x:c>
      <x:c r="C3" t="str">
        <x:v>是</x:v>
      </x:c>
      <x:c r="D3" t="str">
        <x:v>动态视觉扰动</x:v>
      </x:c>
    </x:row>
    <x:row r="4">
      <x:c r="A4" t="str">
        <x:v>完成</x:v>
      </x:c>
      <x:c r="B4" t="str">
        <x:v>低</x:v>
      </x:c>
      <x:c r="C4" t="str">
        <x:v>否</x:v>
      </x:c>
      <x:c r="D4" t="str">
        <x:v>剪辑结构与节奏</x:v>
      </x:c>
    </x:row>
    <x:row r="5">
      <x:c r="A5" t="str">
        <x:v>不适用</x:v>
      </x:c>
      <x:c r="B5" t="str"/>
      <x:c r="C5" t="str">
        <x:v>暂缓</x:v>
      </x:c>
      <x:c r="D5" t="str">
        <x:v>字幕/文字/贴纸</x:v>
      </x:c>
    </x:row>
    <x:row r="6">
      <x:c r="A6" t="str"/>
      <x:c r="B6" t="str"/>
      <x:c r="C6" t="str"/>
      <x:c r="D6" t="str">
        <x:v>音频处理</x:v>
      </x:c>
    </x:row>
    <x:row r="7">
      <x:c r="A7" t="str"/>
      <x:c r="B7" t="str"/>
      <x:c r="C7" t="str"/>
      <x:c r="D7" t="str">
        <x:v>编码与导出</x:v>
      </x:c>
    </x:row>
    <x:row r="8">
      <x:c r="A8" t="str"/>
      <x:c r="B8" t="str"/>
      <x:c r="C8" t="str"/>
      <x:c r="D8" t="str">
        <x:v>AI/自动化能力</x:v>
      </x:c>
    </x:row>
    <x:row r="9">
      <x:c r="A9" t="str"/>
      <x:c r="B9" t="str"/>
      <x:c r="C9" t="str"/>
      <x:c r="D9" t="str">
        <x:v>素材与项目管理</x:v>
      </x:c>
    </x:row>
    <x:row r="10">
      <x:c r="A10" t="str"/>
      <x:c r="B10" t="str"/>
      <x:c r="C10" t="str"/>
      <x:c r="D10" t="str">
        <x:v>质检与合规</x:v>
      </x:c>
    </x:row>
    <x:row r="11">
      <x:c r="A11" t="str"/>
      <x:c r="B11" t="str"/>
      <x:c r="C11" t="str"/>
      <x:c r="D11" t="str">
        <x:v>产品与工程模块</x:v>
      </x:c>
    </x:row>
    <x:row r="12">
      <x:c r="A12" t="str"/>
      <x:c r="B12" t="str"/>
      <x:c r="C12" t="str"/>
      <x:c r="D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36" t="str">
        <x:v>如何使用</x:v>
      </x:c>
      <x:c r="B1" s="36" t="str">
        <x:v>说明</x:v>
      </x:c>
    </x:row>
    <x:row r="2">
      <x:c r="A2" s="13" t="str">
        <x:v>1. 先筛大类</x:v>
      </x:c>
      <x:c r="B2" s="13" t="str">
        <x:v>在 Checklist 表按“大类”筛选，先看与当前软件定位最相关的模块。</x:v>
      </x:c>
    </x:row>
    <x:row r="3">
      <x:c r="A3" s="13" t="str">
        <x:v>2. 设置采用状态</x:v>
      </x:c>
      <x:c r="B3" s="13" t="str">
        <x:v>在“采用?”列选择：待评估、是、否、暂缓。</x:v>
      </x:c>
    </x:row>
    <x:row r="4">
      <x:c r="A4" s="13" t="str">
        <x:v>3. 跟踪开发状态</x:v>
      </x:c>
      <x:c r="B4" s="13" t="str">
        <x:v>在“状态”列选择：未开始、进行中、完成、不适用；总览会自动统计。</x:v>
      </x:c>
    </x:row>
    <x:row r="5">
      <x:c r="A5" s="13" t="str">
        <x:v>4. 控制参数边界</x:v>
      </x:c>
      <x:c r="B5" s="13" t="str">
        <x:v>每个画面/音频处理都建议设定安全范围，并保留人工预览。</x:v>
      </x:c>
    </x:row>
    <x:row r="6">
      <x:c r="A6" s="13" t="str">
        <x:v>5. 合规优先</x:v>
      </x:c>
      <x:c r="B6" s="13" t="str">
        <x:v>该清单面向授权素材的创作增强、版本管理和质检流程；不要用于侵权搬运、掩盖来源或规避平台审核。</x:v>
      </x:c>
    </x:row>
    <x:row r="7">
      <x:c r="A7" s="13" t="str">
        <x:v>6. 批量发布前</x:v>
      </x:c>
      <x:c r="B7" s="13" t="str">
        <x:v>至少抽检画面、音频、字幕、版权、平台规则、最终成片 6 类关键项。</x:v>
      </x:c>
    </x:row>
  </x:sheetData>
  <x:pageMargins left="0.7" right="0.7" top="0.75" bottom="0.75" header="0.3" footer="0.3"/>
</x:worksheet>
</file>